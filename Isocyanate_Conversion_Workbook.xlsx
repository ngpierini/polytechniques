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Sample_Prep" sheetId="2" state="visible" r:id="rId2"/>
    <sheet name="Summary" sheetId="3" state="visible" r:id="rId3"/>
    <sheet name="Formulation" sheetId="4" state="visible" r:id="rId4"/>
    <sheet name="DSC" sheetId="5" state="visible" r:id="rId5"/>
    <sheet name="DSC_Isothermal" sheetId="6" state="visible" r:id="rId6"/>
    <sheet name="FTIR" sheetId="7" state="visible" r:id="rId7"/>
    <sheet name="DMA" sheetId="8" state="visible" r:id="rId8"/>
    <sheet name="TMA" sheetId="9" state="visible" r:id="rId9"/>
    <sheet name="MM_Table" sheetId="10" state="visible" r:id="rId10"/>
    <sheet name="Lambda_F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0.000"/>
    <numFmt numFmtId="166" formatCode="0.00000"/>
    <numFmt numFmtId="167" formatCode="0.0000"/>
    <numFmt numFmtId="168" formatCode="0.000E+00"/>
    <numFmt numFmtId="169" formatCode="0.0%"/>
    <numFmt numFmtId="170" formatCode="+0.0%;-0.0%;0.0%"/>
    <numFmt numFmtId="171" formatCode="0.0000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9" fontId="7" fillId="2" borderId="1" pivotButton="0" quotePrefix="0" xfId="0"/>
    <xf numFmtId="0" fontId="10" fillId="0" borderId="0" pivotButton="0" quotePrefix="0" xfId="0"/>
    <xf numFmtId="0" fontId="7" fillId="2" borderId="1" pivotButton="0" quotePrefix="0" xfId="0"/>
    <xf numFmtId="164" fontId="8" fillId="3" borderId="1" pivotButton="0" quotePrefix="0" xfId="0"/>
    <xf numFmtId="169" fontId="8" fillId="3" borderId="1" pivotButton="0" quotePrefix="0" xfId="0"/>
    <xf numFmtId="169" fontId="5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5" fillId="0" borderId="1" pivotButton="0" quotePrefix="0" xfId="0"/>
    <xf numFmtId="2" fontId="7" fillId="2" borderId="1" pivotButton="0" quotePrefix="0" xfId="0"/>
    <xf numFmtId="0" fontId="2" fillId="0" borderId="1" pivotButton="0" quotePrefix="0" xfId="0"/>
    <xf numFmtId="164" fontId="7" fillId="2" borderId="1" pivotButton="0" quotePrefix="0" xfId="0"/>
    <xf numFmtId="1" fontId="7" fillId="2" borderId="1" pivotButton="0" quotePrefix="0" xfId="0"/>
    <xf numFmtId="165" fontId="7" fillId="2" borderId="1" pivotButton="0" quotePrefix="0" xfId="0"/>
    <xf numFmtId="166" fontId="5" fillId="3" borderId="1" pivotButton="0" quotePrefix="0" xfId="0"/>
    <xf numFmtId="165" fontId="5" fillId="3" borderId="1" pivotButton="0" quotePrefix="0" xfId="0"/>
    <xf numFmtId="164" fontId="5" fillId="3" borderId="1" pivotButton="0" quotePrefix="0" xfId="0"/>
    <xf numFmtId="167" fontId="5" fillId="3" borderId="1" pivotButton="0" quotePrefix="0" xfId="0"/>
    <xf numFmtId="10" fontId="5" fillId="3" borderId="1" pivotButton="0" quotePrefix="0" xfId="0"/>
    <xf numFmtId="168" fontId="5" fillId="3" borderId="1" pivotButton="0" quotePrefix="0" xfId="0"/>
    <xf numFmtId="1" fontId="5" fillId="3" borderId="1" pivotButton="0" quotePrefix="0" xfId="0"/>
    <xf numFmtId="0" fontId="0" fillId="0" borderId="5" pivotButton="0" quotePrefix="0" xfId="0"/>
    <xf numFmtId="0" fontId="0" fillId="0" borderId="4" pivotButton="0" quotePrefix="0" xfId="0"/>
    <xf numFmtId="167" fontId="8" fillId="3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right"/>
    </xf>
    <xf numFmtId="1" fontId="8" fillId="3" borderId="1" pivotButton="0" quotePrefix="0" xfId="0"/>
    <xf numFmtId="165" fontId="8" fillId="3" borderId="1" pivotButton="0" quotePrefix="0" xfId="0"/>
    <xf numFmtId="170" fontId="5" fillId="3" borderId="1" pivotButton="0" quotePrefix="0" xfId="0"/>
    <xf numFmtId="171" fontId="7" fillId="2" borderId="1" pivotButton="0" quotePrefix="0" xfId="0"/>
    <xf numFmtId="171" fontId="5" fillId="3" borderId="1" pivotButton="0" quotePrefix="0" xfId="0"/>
    <xf numFmtId="2" fontId="5" fillId="3" borderId="1" pivotButton="0" quotePrefix="0" xfId="0"/>
    <xf numFmtId="2" fontId="8" fillId="3" borderId="1" pivotButton="0" quotePrefix="0" xfId="0"/>
    <xf numFmtId="9" fontId="7" fillId="2" borderId="1" pivotButton="0" quotePrefix="0" xfId="0"/>
    <xf numFmtId="0" fontId="8" fillId="3" borderId="1" pivotButton="0" quotePrefix="0" xfId="0"/>
    <xf numFmtId="3" fontId="5" fillId="3" borderId="1" pivotButton="0" quotePrefix="0" xfId="0"/>
    <xf numFmtId="165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Workbook</author>
  </authors>
  <commentList>
    <comment ref="A27" authorId="0" shapeId="0">
      <text>
        <t>Paste time (min) and heat flow (W/g) starting here, one row per point, no gaps. Up to 1000 points.</t>
      </text>
    </comment>
  </commentList>
</comments>
</file>

<file path=xl/comments/comment2.xml><?xml version="1.0" encoding="utf-8"?>
<comments xmlns="http://schemas.openxmlformats.org/spreadsheetml/2006/main">
  <authors>
    <author>Workbook</author>
  </authors>
  <commentList>
    <comment ref="A11" authorId="0" shapeId="0">
      <text>
        <t>This row defines R0. It must be the uncured (t = 0) spectrum of the same mix.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8572500" cy="4972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9525000" cy="3943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20</row>
      <rowOff>0</rowOff>
    </from>
    <ext cx="7239000" cy="4171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17</row>
      <rowOff>0</rowOff>
    </from>
    <ext cx="7239000" cy="4219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23</row>
      <rowOff>0</rowOff>
    </from>
    <ext cx="8572500" cy="3724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20</row>
      <rowOff>0</rowOff>
    </from>
    <ext cx="8572500" cy="3267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18</row>
      <rowOff>0</rowOff>
    </from>
    <ext cx="7239000" cy="3971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19</row>
      <rowOff>0</rowOff>
    </from>
    <ext cx="6667500" cy="5105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24</col>
      <colOff>0</colOff>
      <row>19</row>
      <rowOff>0</rowOff>
    </from>
    <ext cx="8572500" cy="3590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66675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Isocyanate Conversion Workbook — DSC · FTIR · DMA · TMA</t>
        </is>
      </c>
    </row>
    <row r="2">
      <c r="A2" s="2" t="inlineStr">
        <is>
          <t>Estimates NCO conversion (α) for urethane-forming systems by four independent techniques and compares them sample-by-sample.</t>
        </is>
      </c>
    </row>
    <row r="4">
      <c r="A4" s="3" t="inlineStr">
        <is>
          <t>SHEET MAP — click a name to jump to that sheet's instructions</t>
        </is>
      </c>
    </row>
    <row r="5">
      <c r="A5" s="4" t="inlineStr">
        <is>
          <t>Sample_Prep  ▸</t>
        </is>
      </c>
      <c r="B5" s="5" t="inlineStr">
        <is>
          <t>Read before mixing: one batch, matched specimens, and how to make and measure the specimen behind every value.</t>
        </is>
      </c>
    </row>
    <row r="6">
      <c r="A6" s="4" t="inlineStr">
        <is>
          <t>Formulation  ▸</t>
        </is>
      </c>
      <c r="B6" s="5" t="inlineStr">
        <is>
          <t>Start here: stoichiometry, %NCO, gel point and the network model the other sheets use.</t>
        </is>
      </c>
    </row>
    <row r="7">
      <c r="A7" s="4" t="inlineStr">
        <is>
          <t>DSC  ▸</t>
        </is>
      </c>
      <c r="B7" s="5" t="inlineStr">
        <is>
          <t>Conversion from residual exotherm (measured or theoretical total heat), plus an optional Tg route.</t>
        </is>
      </c>
    </row>
    <row r="8">
      <c r="A8" s="4" t="inlineStr">
        <is>
          <t>DSC_Isothermal  ▸</t>
        </is>
      </c>
      <c r="B8" s="5" t="inlineStr">
        <is>
          <t>DSC only: α(t) and dα/dt from one isothermal hold plus a residual scan on the same specimen.</t>
        </is>
      </c>
    </row>
    <row r="9">
      <c r="A9" s="4" t="inlineStr">
        <is>
          <t>FTIR  ▸</t>
        </is>
      </c>
      <c r="B9" s="5" t="inlineStr">
        <is>
          <t>Conversion from the NCO band at ~2270 cm⁻¹ normalised to an unchanging reference band.</t>
        </is>
      </c>
    </row>
    <row r="10">
      <c r="A10" s="4" t="inlineStr">
        <is>
          <t>DMA  ▸</t>
        </is>
      </c>
      <c r="B10" s="5" t="inlineStr">
        <is>
          <t>Crosslink density from the rubbery-plateau modulus, and conversion from it and from tan δ Tg.</t>
        </is>
      </c>
    </row>
    <row r="11">
      <c r="A11" s="4" t="inlineStr">
        <is>
          <t>TMA  ▸</t>
        </is>
      </c>
      <c r="B11" s="5" t="inlineStr">
        <is>
          <t>Conversion from the expansion Tg (tangent intersection) and from the rubbery compression modulus.</t>
        </is>
      </c>
    </row>
    <row r="12">
      <c r="A12" s="4" t="inlineStr">
        <is>
          <t>Summary  ▸</t>
        </is>
      </c>
      <c r="B12" s="5" t="inlineStr">
        <is>
          <t>Every method side by side by sample ID, with mean, spread and an agreement flag.</t>
        </is>
      </c>
    </row>
    <row r="13">
      <c r="A13" s="4" t="inlineStr">
        <is>
          <t>MM_Table  ▸</t>
        </is>
      </c>
      <c r="B13" s="5" t="inlineStr">
        <is>
          <t>Calculation sheet behind the DMA and TMA modulus conversions (no inputs).</t>
        </is>
      </c>
    </row>
    <row r="14">
      <c r="A14" s="4" t="inlineStr">
        <is>
          <t>Lambda_Fit  ▸</t>
        </is>
      </c>
      <c r="B14" s="5" t="inlineStr">
        <is>
          <t>Calculation sheet: least-squares λ for the DiBenedetto Tg routes on DSC, DMA and TMA (no inputs).</t>
        </is>
      </c>
    </row>
    <row r="16">
      <c r="A16" s="3" t="inlineStr">
        <is>
          <t>HOW THE SHEETS CONNECT</t>
        </is>
      </c>
    </row>
    <row r="46">
      <c r="A46" s="3" t="inlineStr">
        <is>
          <t>CELL LEGEND</t>
        </is>
      </c>
    </row>
    <row r="47">
      <c r="A47" s="6" t="inlineStr">
        <is>
          <t>Blue text, yellow fill</t>
        </is>
      </c>
      <c r="B47" s="7" t="inlineStr">
        <is>
          <t>Input — type your data here. Every yellow cell is editable; nothing else needs touching.</t>
        </is>
      </c>
    </row>
    <row r="48">
      <c r="A48" s="8" t="inlineStr">
        <is>
          <t>Black text, grey fill</t>
        </is>
      </c>
      <c r="B48" s="7" t="inlineStr">
        <is>
          <t>Calculated — do not overwrite.</t>
        </is>
      </c>
    </row>
    <row r="49">
      <c r="A49" s="9" t="inlineStr">
        <is>
          <t>Green text, grey fill</t>
        </is>
      </c>
      <c r="B49" s="7" t="inlineStr">
        <is>
          <t>Pulled from another sheet (mostly Formulation).</t>
        </is>
      </c>
    </row>
    <row r="50">
      <c r="A50" s="10" t="inlineStr">
        <is>
          <t>Example data</t>
        </is>
      </c>
      <c r="B50" s="7" t="inlineStr">
        <is>
          <t>Rows S0–S4 on every sheet are a worked example (PPG triol, EW 1000, f = 3 + IPDI, index 100, cured at 60 °C). Overwrite or clear them.</t>
        </is>
      </c>
    </row>
    <row r="51">
      <c r="A51" s="10" t="inlineStr"/>
      <c r="B51" s="7" t="n"/>
    </row>
    <row r="52">
      <c r="A52" s="3" t="inlineStr">
        <is>
          <t>WORKFLOW</t>
        </is>
      </c>
    </row>
    <row r="53">
      <c r="A53" s="10" t="inlineStr">
        <is>
          <t>0. Sample_Prep</t>
        </is>
      </c>
      <c r="B53" s="7" t="inlineStr">
        <is>
          <t>Plan the batch before mixing: one mix, matched specimens for every technique, cured together, the same Sample ID on every sheet.</t>
        </is>
      </c>
    </row>
    <row r="54">
      <c r="A54" s="10" t="inlineStr">
        <is>
          <t>1. Formulation</t>
        </is>
      </c>
      <c r="B54" s="7" t="inlineStr">
        <is>
          <t>Enter masses, equivalent weights, functionalities and density. This sets NCO:OH ratio r, initial %NCO, the gel point and the network model used by DMA and TMA.</t>
        </is>
      </c>
    </row>
    <row r="55">
      <c r="A55" s="10" t="inlineStr">
        <is>
          <t>2. DSC</t>
        </is>
      </c>
      <c r="B55" s="7" t="inlineStr">
        <is>
          <t>Enter the uncured reference scan(s), then the residual exotherm (and optionally Tg) for each partially cured sample. Choose the ΔH_total basis in E14: Measured reference, or Theoretical (formulation) when no fresh-mix reference scan exists.</t>
        </is>
      </c>
    </row>
    <row r="56">
      <c r="A56" s="10" t="inlineStr">
        <is>
          <t>2b. DSC_Isothermal</t>
        </is>
      </c>
      <c r="B56" s="7" t="inlineStr">
        <is>
          <t>DSC-only kinetics on one specimen: paste the isothermal heat-flow export (time, W/g), enter the baseline and the residual heat from a dynamic scan run afterwards. Gives α(t) and dα/dt.</t>
        </is>
      </c>
    </row>
    <row r="57">
      <c r="A57" s="10" t="inlineStr">
        <is>
          <t>DSC on its own</t>
        </is>
      </c>
      <c r="B57" s="7" t="inlineStr">
        <is>
          <t>Every DSC result is independent of FTIR, DMA and TMA — leave those sheets blank if you have no data; the Summary simply shows blanks for them.</t>
        </is>
      </c>
    </row>
    <row r="58">
      <c r="A58" s="10" t="inlineStr">
        <is>
          <t>3. FTIR</t>
        </is>
      </c>
      <c r="B58" s="7" t="inlineStr">
        <is>
          <t>Row 11 MUST be the t = 0 (uncured) spectrum. Enter integrated NCO and reference-band areas for every time point.</t>
        </is>
      </c>
    </row>
    <row r="59">
      <c r="A59" s="10" t="inlineStr">
        <is>
          <t>4. DMA</t>
        </is>
      </c>
      <c r="B59" s="7" t="inlineStr">
        <is>
          <t>Enter rubbery-plateau E′ and the temperature it was read at, plus tan δ peak Tg. Pre-gel samples cannot be measured — leave them out.</t>
        </is>
      </c>
    </row>
    <row r="60">
      <c r="A60" s="10" t="inlineStr">
        <is>
          <t>4b. TMA</t>
        </is>
      </c>
      <c r="B60" s="7" t="inlineStr">
        <is>
          <t>Route 1: tangent points (or the instrument's Tg) from the expansion curve. Route 2: two force/deformation points in compression at ≥ Tg + 30 °C. Post-gel specimens only.</t>
        </is>
      </c>
    </row>
    <row r="61">
      <c r="A61" s="10" t="inlineStr">
        <is>
          <t>5. Summary</t>
        </is>
      </c>
      <c r="B61" s="7" t="inlineStr">
        <is>
          <t>Type sample IDs in column A; α from every method is pulled in by ID (IDs must match exactly across sheets).</t>
        </is>
      </c>
    </row>
    <row r="62">
      <c r="A62" s="10" t="inlineStr"/>
      <c r="B62" s="7" t="n"/>
    </row>
    <row r="63">
      <c r="A63" s="3" t="inlineStr">
        <is>
          <t>EQUATIONS</t>
        </is>
      </c>
    </row>
    <row r="64">
      <c r="A64" s="10" t="inlineStr">
        <is>
          <t>DSC — residual heat</t>
        </is>
      </c>
      <c r="B64" s="7" t="inlineStr">
        <is>
          <t>α = 1 − ΔH_res / ΔH_total, both normalised per gram of reactive resin (ΔH per g sample ÷ reactive mass fraction w_r) so plasticiser/filler dilution cancels.</t>
        </is>
      </c>
    </row>
    <row r="65">
      <c r="A65" s="10" t="inlineStr">
        <is>
          <t>DSC — ΔH_total options</t>
        </is>
      </c>
      <c r="B65" s="7" t="inlineStr">
        <is>
          <t>(a) Measured: complete dynamic scan of freshly mixed material.  (b) Theoretical: ΔH_theo = n_NCO · ΔH_urethane / m_total (J/g), no reference scan.  (c) Isothermal + residual: ΔH_total = Q_iso + Q_res on the same specimen.</t>
        </is>
      </c>
    </row>
    <row r="66">
      <c r="A66" s="10" t="inlineStr">
        <is>
          <t>DSC — isothermal</t>
        </is>
      </c>
      <c r="B66" s="7" t="inlineStr">
        <is>
          <t>Q(t) = ∫ s·[q(t) − q_baseline] dt (trapezoid, s = ±1 for exo direction);  α(t) = Q(t)/ΔH_total;  dα/dt = s·[q − q_baseline]/ΔH_total.</t>
        </is>
      </c>
    </row>
    <row r="67">
      <c r="A67" s="10" t="inlineStr"/>
      <c r="B67" s="7" t="inlineStr">
        <is>
          <t>The reference scan also yields an experimental urethane enthalpy, ΔH_total / (mol NCO per g) — use it to calibrate option (b) for later batches.</t>
        </is>
      </c>
    </row>
    <row r="68">
      <c r="A68" s="10" t="inlineStr">
        <is>
          <t>Tg routes (DSC/DMA/TMA)</t>
        </is>
      </c>
      <c r="B68" s="7" t="inlineStr">
        <is>
          <t>DiBenedetto (Pascault–Williams form): (Tg − Tg0)/(Tg∞ − Tg0) = λα / [1 − (1 − λ)α], λ ≈ ΔCp∞/ΔCp0. Inverted: α = x / [λ + x(1 − λ)], x = (Tg − Tg0)/(Tg∞ − Tg0). Tg0, Tg∞ and λ must come from the same technique as the sample Tg (DSC midpoint vs DMA tan δ peak differ by ~5–20 °C).</t>
        </is>
      </c>
    </row>
    <row r="69">
      <c r="A69" s="10" t="inlineStr"/>
      <c r="B69" s="7" t="inlineStr">
        <is>
          <t>λ is chosen per sheet: least-squares fit to residual-heat α (default; see Lambda_Fit), the measured ΔCp ratio, the Tg0/Tg∞ (kelvin) estimate, or a manual value.</t>
        </is>
      </c>
    </row>
    <row r="70">
      <c r="A70" s="10" t="inlineStr">
        <is>
          <t>FTIR</t>
        </is>
      </c>
      <c r="B70" s="7" t="inlineStr">
        <is>
          <t>α = 1 − (A_NCO/A_ref)_t / (A_NCO/A_ref)_0. NCO asymmetric stretch ≈ 2270 cm⁻¹ (integrate ~2230–2300). Reference band must not change during cure (C–H stretch 2870–2970 cm⁻¹, or aromatic C=C ~1595 cm⁻¹ for MDI/TDI). Never use C=O or N–H — they grow with urethane formation.</t>
        </is>
      </c>
    </row>
    <row r="71">
      <c r="A71" s="10" t="inlineStr">
        <is>
          <t>DMA — modulus route</t>
        </is>
      </c>
      <c r="B71" s="7" t="inlineStr">
        <is>
          <t>Rubber elasticity: E′ = 3φ ν_e R T  →  ν_e = E′ / (3φRT); Mc = ρ/ν_e. Affine φ = 1; phantom φ = 1 − 2/f.</t>
        </is>
      </c>
    </row>
    <row r="72">
      <c r="A72" s="10" t="inlineStr"/>
      <c r="B72" s="7" t="inlineStr">
        <is>
          <t>Miller–Macosko for A2 + Bf (one difunctional component, crosslinker f = 3 or 4). With k = r α² (r = NCO/OH, α = NCO conversion), P(F_out) = b solves b = k b^(f−1) + 1 − k:</t>
        </is>
      </c>
    </row>
    <row r="73">
      <c r="A73" s="10" t="inlineStr"/>
      <c r="B73" s="7" t="inlineStr">
        <is>
          <t xml:space="preserve">   f = 3: b = (1 − k)/k for k &gt; 1/2      f = 4: b = [−k + √(4k − 3k²)]/(2k) for k &gt; 1/3      (b = 1 below the gel point)</t>
        </is>
      </c>
    </row>
    <row r="74">
      <c r="A74" s="10" t="inlineStr"/>
      <c r="B74" s="7" t="inlineStr">
        <is>
          <t xml:space="preserve">   ν_e = [Bf]0 · Σ (m/2)·P(X_m,f):  f = 3 → 1.5(1 − b)³;   f = 4 → 2(1 − b)⁴ + 6b(1 − b)³</t>
        </is>
      </c>
    </row>
    <row r="75">
      <c r="A75" s="10" t="inlineStr"/>
      <c r="B75" s="7" t="inlineStr">
        <is>
          <t>The MM_Table sheet tabulates ν_e(α) in 0.001 steps; the measured ν_e is looked up to give α (resolution 0.001).</t>
        </is>
      </c>
    </row>
    <row r="76">
      <c r="A76" s="10" t="inlineStr">
        <is>
          <t>TMA — expansion</t>
        </is>
      </c>
      <c r="B76" s="7" t="inlineStr">
        <is>
          <t>Tangents through (T1, ΔL1)–(T2, ΔL2) and (T3, ΔL3)–(T4, ΔL4); Tg = their intersection; CTE = slope / L0. α from Tg by DiBenedetto, as for DSC and DMA.</t>
        </is>
      </c>
    </row>
    <row r="77">
      <c r="A77" s="10" t="inlineStr">
        <is>
          <t>TMA — compression</t>
        </is>
      </c>
      <c r="B77" s="7" t="inlineStr">
        <is>
          <t>Neo-Hookean in compression: σ = G(λ⁻² − λ), λ = 1 − d/L0, σ = F/A. Two points cancel probe seating: G = (σ2 − σ1) / [(λ2⁻² − λ2) − (λ1⁻² − λ1)]; ν_e = G/(φRT); α from the same Miller–Macosko lookup as DMA.</t>
        </is>
      </c>
    </row>
    <row r="78">
      <c r="A78" s="10" t="inlineStr">
        <is>
          <t>Gel point</t>
        </is>
      </c>
      <c r="B78" s="7" t="inlineStr">
        <is>
          <t>Flory–Stockmayer: α_gel = [r(f − 1)]^−½ (NCO conversion). Maximum NCO conversion = min(1, 1/r).</t>
        </is>
      </c>
    </row>
    <row r="79">
      <c r="A79" s="10" t="inlineStr"/>
      <c r="B79" s="7" t="n"/>
    </row>
    <row r="80">
      <c r="A80" s="3" t="inlineStr">
        <is>
          <t>ASSUMPTIONS &amp; CAVEATS</t>
        </is>
      </c>
    </row>
    <row r="81">
      <c r="A81" s="10" t="inlineStr">
        <is>
          <t>Side reactions</t>
        </is>
      </c>
      <c r="B81" s="7" t="inlineStr">
        <is>
          <t>Allophanate, biuret, isocyanurate and urea (moisture → amine + CO₂) consume NCO without matching urethane heat or the assumed network. Expect FTIR α &gt; DSC/DMA α when they occur; a large, systematic gap is itself diagnostic.</t>
        </is>
      </c>
    </row>
    <row r="82">
      <c r="A82" s="10" t="inlineStr">
        <is>
          <t>DSC</t>
        </is>
      </c>
      <c r="B82" s="7" t="inlineStr">
        <is>
          <t>ΔH_total must come from a complete dynamic scan of freshly mixed material (some reaction during mixing/loading biases it low). Check the measured/theoretical ratio on the DSC sheet. Overlapping events (evaporation, post-cure side reactions) inflate residual heat.</t>
        </is>
      </c>
    </row>
    <row r="83">
      <c r="A83" s="10" t="inlineStr">
        <is>
          <t>Urethane ΔH</t>
        </is>
      </c>
      <c r="B83" s="7" t="inlineStr">
        <is>
          <t>Formulation!B12 (default 90 kJ/mol NCO) is only for the theoretical-enthalpy sanity check; literature values span roughly 80–100 kJ/mol depending on isocyanate/alcohol structure. Replace with a value for your chemistry (DSC!E13 gives one from your own reference scan). It enters α only when a Theoretical ΔH_total basis is selected; otherwise it is a sanity check.</t>
        </is>
      </c>
    </row>
    <row r="84">
      <c r="A84" s="10" t="inlineStr">
        <is>
          <t>Isothermal DSC</t>
        </is>
      </c>
      <c r="B84" s="7" t="inlineStr">
        <is>
          <t>Run until the heat flow returns to baseline, or capture what remains with the residual scan (the sheet flags runs still &gt;2 % of peak at the end). Heat released before data collection (mixing, loading, equilibration) is missed by Q_iso; the heat-balance row against theoretical shows how much. Vitrification can stall cure — the residual scan then holds the rest.</t>
        </is>
      </c>
    </row>
    <row r="85">
      <c r="A85" s="10" t="inlineStr">
        <is>
          <t>DMA</t>
        </is>
      </c>
      <c r="B85" s="7" t="inlineStr">
        <is>
          <t>Read E′ well into the rubbery plateau (≥ 30 °C above tan δ Tg; the sheet flags this). Hard-segment phase separation, H-bonding and trapped entanglements raise E′ above the chemical-crosslink value, so modulus-derived α reads high in segmented PUs. Non-integer or mixed functionality (e.g. HTPB, f ≈ 2.2–2.5, or diol/triol blends) is NOT handled by the A2 + Bf model — use the Tg route or ν_e/ν_e,theo as a relative index instead.</t>
        </is>
      </c>
    </row>
    <row r="86">
      <c r="A86" s="10" t="inlineStr">
        <is>
          <t>TMA</t>
        </is>
      </c>
      <c r="B86" s="7" t="inlineStr">
        <is>
          <t>Keep the expansion force small (≈0.02–0.05 N) or the probe sinks in above Tg and the rubbery slope is wrong. Compression discs need flat, parallel, lubricated faces — friction makes thin discs read stiff. Physical crosslinks inflate G just as they inflate E′.</t>
        </is>
      </c>
    </row>
    <row r="87">
      <c r="A87" s="10" t="inlineStr">
        <is>
          <t>Heating during tests</t>
        </is>
      </c>
      <c r="B87" s="7" t="inlineStr">
        <is>
          <t>A partly cured specimen keeps curing while it is heated (DMA and TMA ramps, the Tg part of a DSC scan). Keep ramps short and, where possible, below the cure temperature, or α will read high.</t>
        </is>
      </c>
    </row>
    <row r="88">
      <c r="A88" s="10" t="inlineStr">
        <is>
          <t>Units</t>
        </is>
      </c>
      <c r="B88" s="7" t="inlineStr">
        <is>
          <t>E′ and G in MPa, forces in N, deformations and ΔL in µm, thickness and diameter in mm, T in °C (converted to K), density in g/cm³, ν_e in mol/m³, Mc in g/mol, ΔH in J/g, IR areas in absorbance·cm⁻¹ (any consistent unit).</t>
        </is>
      </c>
    </row>
    <row r="89">
      <c r="A89" s="10" t="inlineStr"/>
      <c r="B89" s="7" t="n"/>
    </row>
    <row r="90">
      <c r="A90" s="3" t="inlineStr">
        <is>
          <t>REFERENCES</t>
        </is>
      </c>
    </row>
    <row r="91">
      <c r="A91" s="10" t="inlineStr"/>
      <c r="B91" s="7" t="inlineStr">
        <is>
          <t>Macosko, C. W.; Miller, D. R. Macromolecules 1976, 9, 199–206 (average MW of nonlinear polymers).</t>
        </is>
      </c>
    </row>
    <row r="92">
      <c r="A92" s="10" t="inlineStr"/>
      <c r="B92" s="7" t="inlineStr">
        <is>
          <t>Miller, D. R.; Macosko, C. W. Macromolecules 1976, 9, 206–211 (post-gel properties, elastically active strands).</t>
        </is>
      </c>
    </row>
    <row r="93">
      <c r="A93" s="10" t="inlineStr"/>
      <c r="B93" s="7" t="inlineStr">
        <is>
          <t>Pascault, J. P.; Williams, R. J. J. J. Polym. Sci. B: Polym. Phys. 1990, 28, 85–95 (DiBenedetto Tg–conversion relation).</t>
        </is>
      </c>
    </row>
    <row r="94">
      <c r="A94" s="10" t="inlineStr"/>
      <c r="B94" s="7" t="inlineStr">
        <is>
          <t>Odian, G. Principles of Polymerization, 4th ed., Wiley, 2004 — Ch. 2 (step polymerisation, gelation, Flory–Stockmayer).</t>
        </is>
      </c>
    </row>
    <row r="95">
      <c r="A95" s="10" t="inlineStr"/>
      <c r="B95" s="7" t="inlineStr">
        <is>
          <t>Test standards for specimen preparation and measurement are listed per value on the Sample_Prep sheet (check the current edition).</t>
        </is>
      </c>
    </row>
  </sheetData>
  <hyperlinks>
    <hyperlink ref="A5" location="'Sample_Prep'!A1" display="Sample_Prep  ▸"/>
    <hyperlink ref="A6" location="'Formulation'!F1" display="Formulation  ▸"/>
    <hyperlink ref="A7" location="'DSC'!O1" display="DSC  ▸"/>
    <hyperlink ref="A8" location="'DSC_Isothermal'!J1" display="DSC_Isothermal  ▸"/>
    <hyperlink ref="A9" location="'FTIR'!O1" display="FTIR  ▸"/>
    <hyperlink ref="A10" location="'DMA'!P1" display="DMA  ▸"/>
    <hyperlink ref="A11" location="'TMA'!Y1" display="TMA  ▸"/>
    <hyperlink ref="A12" location="'Summary'!O5" display="Summary  ▸"/>
    <hyperlink ref="A13" location="'MM_Table'!E3" display="MM_Table  ▸"/>
    <hyperlink ref="A14" location="'Lambda_Fit'!AB17" display="Lambda_Fit  ▸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  <col width="62" customWidth="1" min="4" max="4"/>
    <col width="18" customWidth="1" min="5" max="5"/>
  </cols>
  <sheetData>
    <row r="1">
      <c r="A1" s="1" t="inlineStr">
        <is>
          <t>Sample preparation — the specimen behind every value</t>
        </is>
      </c>
    </row>
    <row r="2">
      <c r="A2" s="2" t="inlineStr">
        <is>
          <t>One batch, matched specimens, the same Sample ID on every sheet. Settings are typical starting points; adapt them to your instrument and material.</t>
        </is>
      </c>
    </row>
    <row r="3">
      <c r="A3" s="4" t="inlineStr">
        <is>
          <t>↩ Back to the Guide</t>
        </is>
      </c>
    </row>
    <row r="5">
      <c r="A5" s="3" t="inlineStr">
        <is>
          <t>THE ONE-BATCH WORKFLOW</t>
        </is>
      </c>
    </row>
    <row r="29">
      <c r="A29" s="3" t="inlineStr">
        <is>
          <t>BEFORE YOU START — applies to every technique</t>
        </is>
      </c>
    </row>
    <row r="30" ht="20" customHeight="1">
      <c r="A30" s="11" t="inlineStr">
        <is>
          <t>Step</t>
        </is>
      </c>
      <c r="B30" s="11" t="inlineStr">
        <is>
          <t>What to do</t>
        </is>
      </c>
      <c r="C30" s="11" t="inlineStr">
        <is>
          <t>How</t>
        </is>
      </c>
      <c r="D30" s="11" t="inlineStr">
        <is>
          <t>Why it matters</t>
        </is>
      </c>
      <c r="E30" s="11" t="inlineStr">
        <is>
          <t>Standard</t>
        </is>
      </c>
    </row>
    <row r="31">
      <c r="A31" s="12" t="inlineStr">
        <is>
          <t>1</t>
        </is>
      </c>
      <c r="B31" s="12" t="inlineStr">
        <is>
          <t>Dry the polyol</t>
        </is>
      </c>
      <c r="C31" s="13" t="inlineStr">
        <is>
          <t>2–4 h at 80–100 °C under vacuum (or as the supplier advises); check water by Karl Fischer and keep it below ~0.05 %.</t>
        </is>
      </c>
      <c r="D31" s="13" t="inlineStr">
        <is>
          <t>Water consumes NCO (urea + CO₂): FTIR then sees NCO loss with no urethane heat, and bubbles spoil DMA/TMA specimens.</t>
        </is>
      </c>
      <c r="E31" s="13" t="inlineStr">
        <is>
          <t>ASTM D4672</t>
        </is>
      </c>
    </row>
    <row r="32">
      <c r="A32" s="12" t="inlineStr">
        <is>
          <t>2</t>
        </is>
      </c>
      <c r="B32" s="12" t="inlineStr">
        <is>
          <t>Check the raw materials</t>
        </is>
      </c>
      <c r="C32" s="13" t="inlineStr">
        <is>
          <t>Titrate the OH number of the polyol lot and the %NCO of the isocyanate lot; enter those, not nominal values, on Formulation.</t>
        </is>
      </c>
      <c r="D32" s="13" t="inlineStr">
        <is>
          <t>Index, gel point, %NCO and theoretical ΔH all depend on them.</t>
        </is>
      </c>
      <c r="E32" s="13" t="inlineStr">
        <is>
          <t>ASTM D4274, D2572</t>
        </is>
      </c>
    </row>
    <row r="33">
      <c r="A33" s="12" t="inlineStr">
        <is>
          <t>3</t>
        </is>
      </c>
      <c r="B33" s="12" t="inlineStr">
        <is>
          <t>Make one batch</t>
        </is>
      </c>
      <c r="C33" s="13" t="inlineStr">
        <is>
          <t>Weigh to the target index on an analytical balance and record the actual masses; add catalyst last; mix 1–2 min in a centrifugal mixer, under vacuum if available.</t>
        </is>
      </c>
      <c r="D33" s="13" t="inlineStr">
        <is>
          <t>Every technique then measures the same material — the Summary comparison only means something this way.</t>
        </is>
      </c>
      <c r="E33" s="13" t="inlineStr"/>
    </row>
    <row r="34">
      <c r="A34" s="12" t="inlineStr">
        <is>
          <t>4</t>
        </is>
      </c>
      <c r="B34" s="12" t="inlineStr">
        <is>
          <t>Start the clock</t>
        </is>
      </c>
      <c r="C34" s="13" t="inlineStr">
        <is>
          <t>t = 0 is first contact of polyol and isocyanate. Note it, and the time each specimen goes into the oven or instrument.</t>
        </is>
      </c>
      <c r="D34" s="13" t="inlineStr">
        <is>
          <t>Cure time is the x-axis of every comparison.</t>
        </is>
      </c>
      <c r="E34" s="13" t="inlineStr"/>
    </row>
    <row r="35">
      <c r="A35" s="12" t="inlineStr">
        <is>
          <t>5</t>
        </is>
      </c>
      <c r="B35" s="12" t="inlineStr">
        <is>
          <t>Split at once</t>
        </is>
      </c>
      <c r="C35" s="13" t="inlineStr">
        <is>
          <t>Within a few minutes fill DSC pans, cast FTIR films, pour DMA bars and TMA discs (table below). Measure the t = 0 set straight away.</t>
        </is>
      </c>
      <c r="D35" s="13" t="inlineStr">
        <is>
          <t>The mix keeps reacting at room temperature; delays shift t = 0 and lower the measured ΔH_total.</t>
        </is>
      </c>
      <c r="E35" s="13" t="inlineStr"/>
    </row>
    <row r="36">
      <c r="A36" s="12" t="inlineStr">
        <is>
          <t>6</t>
        </is>
      </c>
      <c r="B36" s="12" t="inlineStr">
        <is>
          <t>Cure together</t>
        </is>
      </c>
      <c r="C36" s="13" t="inlineStr">
        <is>
          <t>Put every specimen in the same oven at the same time. At each time point pull one of each type and give them the same Sample ID.</t>
        </is>
      </c>
      <c r="D36" s="13" t="inlineStr">
        <is>
          <t>Identical thermal history makes the techniques comparable.</t>
        </is>
      </c>
      <c r="E36" s="13" t="inlineStr"/>
    </row>
    <row r="37">
      <c r="A37" s="12" t="inlineStr">
        <is>
          <t>7</t>
        </is>
      </c>
      <c r="B37" s="12" t="inlineStr">
        <is>
          <t>Stop and store</t>
        </is>
      </c>
      <c r="C37" s="13" t="inlineStr">
        <is>
          <t>Test at once, or freeze at ≤ −20 °C (−80 °C is better) in a sealed, desiccated bag; let it reach room temperature before opening.</t>
        </is>
      </c>
      <c r="D37" s="13" t="inlineStr">
        <is>
          <t>Cold well below Tg stops the reaction; opening a cold bag condenses water on the specimen.</t>
        </is>
      </c>
      <c r="E37" s="13" t="inlineStr"/>
    </row>
    <row r="38">
      <c r="A38" s="12" t="inlineStr">
        <is>
          <t>8</t>
        </is>
      </c>
      <c r="B38" s="12" t="inlineStr">
        <is>
          <t>Measure gently</t>
        </is>
      </c>
      <c r="C38" s="13" t="inlineStr">
        <is>
          <t>Keep heating ramps short and, where possible, below the cure temperature; note the maximum temperature each specimen saw.</t>
        </is>
      </c>
      <c r="D38" s="13" t="inlineStr">
        <is>
          <t>A partly cured specimen keeps curing while it is heated, which biases α high.</t>
        </is>
      </c>
      <c r="E38" s="13" t="inlineStr"/>
    </row>
    <row r="40">
      <c r="A40" s="3" t="inlineStr">
        <is>
          <t>VALUE BY VALUE — which specimen gives each input, and how to measure it</t>
        </is>
      </c>
    </row>
    <row r="41" ht="20" customHeight="1">
      <c r="A41" s="11" t="inlineStr">
        <is>
          <t>Sheet</t>
        </is>
      </c>
      <c r="B41" s="11" t="inlineStr">
        <is>
          <t>Value (cells)</t>
        </is>
      </c>
      <c r="C41" s="11" t="inlineStr">
        <is>
          <t>Specimen and how to prepare it</t>
        </is>
      </c>
      <c r="D41" s="11" t="inlineStr">
        <is>
          <t>How to measure it</t>
        </is>
      </c>
      <c r="E41" s="11" t="inlineStr">
        <is>
          <t>Standard</t>
        </is>
      </c>
    </row>
    <row r="42">
      <c r="A42" s="14" t="inlineStr">
        <is>
          <t>Formulation</t>
        </is>
      </c>
      <c r="B42" s="12" t="inlineStr">
        <is>
          <t>Polyol equivalent weight (B5)</t>
        </is>
      </c>
      <c r="C42" s="13" t="inlineStr">
        <is>
          <t>A sample of the polyol lot, dried as in step 1.</t>
        </is>
      </c>
      <c r="D42" s="13" t="inlineStr">
        <is>
          <t>OH number by titration; EW = 56100 / OH number.</t>
        </is>
      </c>
      <c r="E42" s="13" t="inlineStr">
        <is>
          <t>ASTM D4274</t>
        </is>
      </c>
    </row>
    <row r="43">
      <c r="A43" s="14" t="inlineStr">
        <is>
          <t>Formulation</t>
        </is>
      </c>
      <c r="B43" s="12" t="inlineStr">
        <is>
          <t>Isocyanate equivalent weight (B8)</t>
        </is>
      </c>
      <c r="C43" s="13" t="inlineStr">
        <is>
          <t>A sample of the isocyanate lot, handled under dry N₂ (it reacts with air moisture).</t>
        </is>
      </c>
      <c r="D43" s="13" t="inlineStr">
        <is>
          <t>%NCO by di-n-butylamine back-titration; EW = 4202 / %NCO.</t>
        </is>
      </c>
      <c r="E43" s="13" t="inlineStr">
        <is>
          <t>ASTM D2572</t>
        </is>
      </c>
    </row>
    <row r="44">
      <c r="A44" s="14" t="inlineStr">
        <is>
          <t>Formulation</t>
        </is>
      </c>
      <c r="B44" s="12" t="inlineStr">
        <is>
          <t>Masses (B4, B7, B10)</t>
        </is>
      </c>
      <c r="C44" s="13" t="inlineStr">
        <is>
          <t>The batch itself.</t>
        </is>
      </c>
      <c r="D44" s="13" t="inlineStr">
        <is>
          <t>Analytical balance, weigh by difference; enter the actual masses, not the targets.</t>
        </is>
      </c>
      <c r="E44" s="13" t="inlineStr"/>
    </row>
    <row r="45">
      <c r="A45" s="14" t="inlineStr">
        <is>
          <t>Formulation</t>
        </is>
      </c>
      <c r="B45" s="12" t="inlineStr">
        <is>
          <t>Cured density (B11)</t>
        </is>
      </c>
      <c r="C45" s="13" t="inlineStr">
        <is>
          <t>A void-free, fully cured piece cast alongside the DMA/TMA specimens.</t>
        </is>
      </c>
      <c r="D45" s="13" t="inlineStr">
        <is>
          <t>Buoyancy (Archimedes) in water or another liquid that does not swell it, or gas pycnometry.</t>
        </is>
      </c>
      <c r="E45" s="13" t="inlineStr">
        <is>
          <t>ASTM D792</t>
        </is>
      </c>
    </row>
    <row r="46">
      <c r="A46" s="14" t="inlineStr">
        <is>
          <t>DSC</t>
        </is>
      </c>
      <c r="B46" s="12" t="inlineStr">
        <is>
          <t>Reference ΔH_total (C5–C7)</t>
        </is>
      </c>
      <c r="C46" s="13" t="inlineStr">
        <is>
          <t>5–10 mg of fresh mix in a hermetic aluminium pan, sealed and weighed within minutes of mixing; 2–3 replicates.</t>
        </is>
      </c>
      <c r="D46" s="13" t="inlineStr">
        <is>
          <t>Cool to ~Tg0 − 30 °C, heat 10 K/min through the whole exotherm under N₂ (50 mL/min); check by TGA that the upper limit is below any mass loss. Integrate with a linear baseline.</t>
        </is>
      </c>
      <c r="E46" s="13" t="inlineStr">
        <is>
          <t>ASTM E2160</t>
        </is>
      </c>
    </row>
    <row r="47">
      <c r="A47" s="14" t="inlineStr">
        <is>
          <t>DSC</t>
        </is>
      </c>
      <c r="B47" s="12" t="inlineStr">
        <is>
          <t>Residual ΔH_res (column E)</t>
        </is>
      </c>
      <c r="C47" s="13" t="inlineStr">
        <is>
          <t>Best: seal 5–10 mg pans of fresh mix at t = 0 and cure them in the oven with the other specimens. Otherwise cut 5–10 mg from the bulk specimen pulled at that time.</t>
        </is>
      </c>
      <c r="D47" s="13" t="inlineStr">
        <is>
          <t>Exactly the same pan type, heating rate, range and baseline as the reference.</t>
        </is>
      </c>
      <c r="E47" s="13" t="inlineStr">
        <is>
          <t>ASTM E2160</t>
        </is>
      </c>
    </row>
    <row r="48">
      <c r="A48" s="14" t="inlineStr">
        <is>
          <t>DSC</t>
        </is>
      </c>
      <c r="B48" s="12" t="inlineStr">
        <is>
          <t>Tg midpoint (column I) and Tg0 (B18)</t>
        </is>
      </c>
      <c r="C48" s="13" t="inlineStr">
        <is>
          <t>The same pans. For Tg0 use a fresh-mix pan quenched below Tg first.</t>
        </is>
      </c>
      <c r="D48" s="13" t="inlineStr">
        <is>
          <t>Midpoint of the step on the first heat, read before the residual exotherm begins.</t>
        </is>
      </c>
      <c r="E48" s="13" t="inlineStr">
        <is>
          <t>ASTM E1356</t>
        </is>
      </c>
    </row>
    <row r="49">
      <c r="A49" s="14" t="inlineStr">
        <is>
          <t>DSC</t>
        </is>
      </c>
      <c r="B49" s="12" t="inlineStr">
        <is>
          <t>Tg∞ (B19) and ΔCp∞ (H18)</t>
        </is>
      </c>
      <c r="C49" s="13" t="inlineStr">
        <is>
          <t>A pan cured to completion: post-cure until no residual exotherm remains.</t>
        </is>
      </c>
      <c r="D49" s="13" t="inlineStr">
        <is>
          <t>Second heat after a complete scan: step midpoint and step height (J/g·K).</t>
        </is>
      </c>
      <c r="E49" s="13" t="inlineStr">
        <is>
          <t>ASTM E1356</t>
        </is>
      </c>
    </row>
    <row r="50">
      <c r="A50" s="14" t="inlineStr">
        <is>
          <t>DSC</t>
        </is>
      </c>
      <c r="B50" s="12" t="inlineStr">
        <is>
          <t>ΔCp0 (G18)</t>
        </is>
      </c>
      <c r="C50" s="13" t="inlineStr">
        <is>
          <t>The fresh-mix reference pan.</t>
        </is>
      </c>
      <c r="D50" s="13" t="inlineStr">
        <is>
          <t>Step height at Tg0 on the first heat (J/g·K).</t>
        </is>
      </c>
      <c r="E50" s="13" t="inlineStr">
        <is>
          <t>ASTM E1356</t>
        </is>
      </c>
    </row>
    <row r="51">
      <c r="A51" s="14" t="inlineStr">
        <is>
          <t>DSC_Isothermal</t>
        </is>
      </c>
      <c r="B51" s="12" t="inlineStr">
        <is>
          <t>Heat flow vs time (A27 down)</t>
        </is>
      </c>
      <c r="C51" s="13" t="inlineStr">
        <is>
          <t>5–10 mg of fresh mix in a hermetic pan, loaded as fast as possible after mixing.</t>
        </is>
      </c>
      <c r="D51" s="13" t="inlineStr">
        <is>
          <t>Pre-equilibrate the cell at the cure temperature and drop the pan in (or jump at the maximum rate); hold until the signal is flat; export W/g against minutes. Record the delay from mixing to the start.</t>
        </is>
      </c>
      <c r="E51" s="13" t="inlineStr"/>
    </row>
    <row r="52">
      <c r="A52" s="14" t="inlineStr">
        <is>
          <t>DSC_Isothermal</t>
        </is>
      </c>
      <c r="B52" s="12" t="inlineStr">
        <is>
          <t>Baseline (B8)</t>
        </is>
      </c>
      <c r="C52" s="13" t="inlineStr">
        <is>
          <t>The same pan after the run.</t>
        </is>
      </c>
      <c r="D52" s="13" t="inlineStr">
        <is>
          <t>Repeat the identical isothermal program on the now-cured pan; its signal is the baseline.</t>
        </is>
      </c>
      <c r="E52" s="13" t="inlineStr"/>
    </row>
    <row r="53">
      <c r="A53" s="14" t="inlineStr">
        <is>
          <t>DSC_Isothermal</t>
        </is>
      </c>
      <c r="B53" s="12" t="inlineStr">
        <is>
          <t>Residual heat Q_res (B9)</t>
        </is>
      </c>
      <c r="C53" s="13" t="inlineStr">
        <is>
          <t>The same pan.</t>
        </is>
      </c>
      <c r="D53" s="13" t="inlineStr">
        <is>
          <t>Cool below Tg, then heat 10 K/min through the residual exotherm.</t>
        </is>
      </c>
      <c r="E53" s="13" t="inlineStr">
        <is>
          <t>ASTM E2160</t>
        </is>
      </c>
    </row>
    <row r="54">
      <c r="A54" s="14" t="inlineStr">
        <is>
          <t>FTIR</t>
        </is>
      </c>
      <c r="B54" s="12" t="inlineStr">
        <is>
          <t>A_NCO and A_ref at t = 0 (row 11)</t>
        </is>
      </c>
      <c r="C54" s="13" t="inlineStr">
        <is>
          <t>A drop of fresh mix.</t>
        </is>
      </c>
      <c r="D54" s="13" t="inlineStr">
        <is>
          <t>ATR: a thin layer over the crystal (a heated ATR at the cure temperature gives continuous kinetics). Transmission: a 10–25 µm film between KBr or NaCl so the NCO band stays below ~1 absorbance.</t>
        </is>
      </c>
      <c r="E54" s="13" t="inlineStr"/>
    </row>
    <row r="55">
      <c r="A55" s="14" t="inlineStr">
        <is>
          <t>FTIR</t>
        </is>
      </c>
      <c r="B55" s="12" t="inlineStr">
        <is>
          <t>A_NCO and A_ref at time t (columns D–E)</t>
        </is>
      </c>
      <c r="C55" s="13" t="inlineStr">
        <is>
          <t>A thin film (~0.1–0.5 mm) cast on PTFE or release liner from the same batch and cured with the other specimens.</t>
        </is>
      </c>
      <c r="D55" s="13" t="inlineStr">
        <is>
          <t>Same crystal, clamp pressure, 4 cm⁻¹ resolution and 32 scans every time; fresh background each session. Measure the face that was against the liner — the air side also reacts with humidity.</t>
        </is>
      </c>
      <c r="E55" s="13" t="inlineStr"/>
    </row>
    <row r="56">
      <c r="A56" s="14" t="inlineStr">
        <is>
          <t>DMA</t>
        </is>
      </c>
      <c r="B56" s="12" t="inlineStr">
        <is>
          <t>E′, T at E′ and tan δ peak (columns D–F)</t>
        </is>
      </c>
      <c r="C56" s="13" t="inlineStr">
        <is>
          <t>Bars cast in PTFE or silicone moulds from the degassed batch, e.g. 30 × 6 × 1–2 mm (film tension) or 50 × 10 × 3 mm (single cantilever); thickness measured at three points.</t>
        </is>
      </c>
      <c r="D56" s="13" t="inlineStr">
        <is>
          <t>Strain sweep first to find the linear region; then 1 Hz, 2–3 K/min from ~Tg − 30 °C to Tg + 50 °C. Read E′ at ≥ Tg + 30 °C; tan δ peak = Tg. Post-gel (handleable) specimens only.</t>
        </is>
      </c>
      <c r="E56" s="13" t="inlineStr">
        <is>
          <t>ASTM D4065, E1640</t>
        </is>
      </c>
    </row>
    <row r="57">
      <c r="A57" s="14" t="inlineStr">
        <is>
          <t>DMA</t>
        </is>
      </c>
      <c r="B57" s="12" t="inlineStr">
        <is>
          <t>Tg0 and Tg∞ (B13–B14)</t>
        </is>
      </c>
      <c r="C57" s="13" t="inlineStr">
        <is>
          <t>Tg∞: a bar post-cured to completion. Tg0: the liquid cannot be clamped.</t>
        </is>
      </c>
      <c r="D57" s="13" t="inlineStr">
        <is>
          <t>Tg∞ by the same ramp. Tg0: extrapolate the Tg–time trend, or use DSC Tg0 plus your DSC→tan δ offset.</t>
        </is>
      </c>
      <c r="E57" s="13" t="inlineStr">
        <is>
          <t>ASTM E1640</t>
        </is>
      </c>
    </row>
    <row r="58">
      <c r="A58" s="14" t="inlineStr">
        <is>
          <t>TMA</t>
        </is>
      </c>
      <c r="B58" s="12" t="inlineStr">
        <is>
          <t>Tangent points or Tg (Route 1, columns D–M)</t>
        </is>
      </c>
      <c r="C58" s="13" t="inlineStr">
        <is>
          <t>A disc or flat piece 1–3 mm thick and 5–8 mm across with flat, parallel faces (cast in a mould, or cut and lightly sanded).</t>
        </is>
      </c>
      <c r="D58" s="13" t="inlineStr">
        <is>
          <t>Expansion probe, small force (~0.02–0.05 N) so it does not sink in above Tg; cool to ~Tg − 40 °C, heat 3–5 K/min. Pick two points on each straight segment, or enter the instrument's Tg in column E.</t>
        </is>
      </c>
      <c r="E58" s="13" t="inlineStr">
        <is>
          <t>ASTM E831, E1545</t>
        </is>
      </c>
    </row>
    <row r="59">
      <c r="A59" s="14" t="inlineStr">
        <is>
          <t>TMA</t>
        </is>
      </c>
      <c r="B59" s="12" t="inlineStr">
        <is>
          <t>Forces and deformations (Route 2, columns D–J)</t>
        </is>
      </c>
      <c r="C59" s="13" t="inlineStr">
        <is>
          <t>A cylinder or disc smaller than the flat probe (e.g. Ø5 × 2 mm under a Ø6 mm probe); thin silicone oil or PTFE film on both faces so it does not barrel; thickness and diameter by micrometer.</t>
        </is>
      </c>
      <c r="D59" s="13" t="inlineStr">
        <is>
          <t>Equilibrate at ≥ Tg + 30 °C; apply a small preload (force 1), then a higher force (force 2) or a slow force ramp; keep compression below 20 %.</t>
        </is>
      </c>
      <c r="E59" s="13" t="inlineStr"/>
    </row>
    <row r="60">
      <c r="A60" s="14" t="inlineStr">
        <is>
          <t>TMA</t>
        </is>
      </c>
      <c r="B60" s="12" t="inlineStr">
        <is>
          <t>Tg0 and Tg∞ (B13–B14)</t>
        </is>
      </c>
      <c r="C60" s="13" t="inlineStr">
        <is>
          <t>Tg0: fresh mix quenched below Tg in a TMA pan. Tg∞: a fully post-cured disc.</t>
        </is>
      </c>
      <c r="D60" s="13" t="inlineStr">
        <is>
          <t>Same expansion program; for Tg0 the probe sinks where the material softens — take the onset.</t>
        </is>
      </c>
      <c r="E60" s="13" t="inlineStr">
        <is>
          <t>ASTM E1545</t>
        </is>
      </c>
    </row>
    <row r="62">
      <c r="A62" s="2" t="inlineStr">
        <is>
          <t>Standards are listed for method guidance — check the current edition and your laboratory's own procedures.</t>
        </is>
      </c>
    </row>
  </sheetData>
  <hyperlinks>
    <hyperlink ref="A3" location="'Guide'!A1" display="↩ Back to the Guide"/>
    <hyperlink ref="A42" location="'Formulation'!A1" display="Formulation"/>
    <hyperlink ref="A43" location="'Formulation'!A1" display="Formulation"/>
    <hyperlink ref="A44" location="'Formulation'!A1" display="Formulation"/>
    <hyperlink ref="A45" location="'Formulation'!A1" display="Formulation"/>
    <hyperlink ref="A46" location="'DSC'!A1" display="DSC"/>
    <hyperlink ref="A47" location="'DSC'!A1" display="DSC"/>
    <hyperlink ref="A48" location="'DSC'!A1" display="DSC"/>
    <hyperlink ref="A49" location="'DSC'!A1" display="DSC"/>
    <hyperlink ref="A50" location="'DSC'!A1" display="DSC"/>
    <hyperlink ref="A51" location="'DSC_Isothermal'!A1" display="DSC_Isothermal"/>
    <hyperlink ref="A52" location="'DSC_Isothermal'!A1" display="DSC_Isothermal"/>
    <hyperlink ref="A53" location="'DSC_Isothermal'!A1" display="DSC_Isothermal"/>
    <hyperlink ref="A54" location="'FTIR'!A1" display="FTIR"/>
    <hyperlink ref="A55" location="'FTIR'!A1" display="FTIR"/>
    <hyperlink ref="A56" location="'DMA'!A1" display="DMA"/>
    <hyperlink ref="A57" location="'DMA'!A1" display="DMA"/>
    <hyperlink ref="A58" location="'TMA'!A1" display="TMA"/>
    <hyperlink ref="A59" location="'TMA'!A1" display="TMA"/>
    <hyperlink ref="A60" location="'TMA'!A1" display="TMA"/>
  </hyperlink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  <col width="11" customWidth="1" min="12" max="12"/>
    <col width="26" customWidth="1" min="13" max="13"/>
  </cols>
  <sheetData>
    <row r="1">
      <c r="A1" s="1" t="inlineStr">
        <is>
          <t>Summary — NCO conversion by method</t>
        </is>
      </c>
    </row>
    <row r="2">
      <c r="A2" s="2" t="inlineStr">
        <is>
          <t>Type sample IDs in column A; values are looked up by ID from each method sheet.     ▸ How to use this sheet: column O</t>
        </is>
      </c>
    </row>
    <row r="3">
      <c r="A3" s="5" t="inlineStr">
        <is>
          <t>Agreement tolerance (α range)</t>
        </is>
      </c>
      <c r="D3" s="15" t="n">
        <v>0.05</v>
      </c>
    </row>
    <row r="5" ht="45" customHeight="1">
      <c r="A5" s="11" t="inlineStr">
        <is>
          <t>Sample ID</t>
        </is>
      </c>
      <c r="B5" s="11" t="inlineStr">
        <is>
          <t>Cure time (h)</t>
        </is>
      </c>
      <c r="C5" s="11" t="inlineStr">
        <is>
          <t>α DSC (residual heat)</t>
        </is>
      </c>
      <c r="D5" s="11" t="inlineStr">
        <is>
          <t>α DSC (Tg)</t>
        </is>
      </c>
      <c r="E5" s="11" t="inlineStr">
        <is>
          <t>α FTIR</t>
        </is>
      </c>
      <c r="F5" s="11" t="inlineStr">
        <is>
          <t>α DMA (Miller–Macosko)</t>
        </is>
      </c>
      <c r="G5" s="11" t="inlineStr">
        <is>
          <t>α DMA (tan δ Tg)</t>
        </is>
      </c>
      <c r="H5" s="11" t="inlineStr">
        <is>
          <t>α TMA (expansion Tg)</t>
        </is>
      </c>
      <c r="I5" s="11" t="inlineStr">
        <is>
          <t>α TMA (compression)</t>
        </is>
      </c>
      <c r="J5" s="11" t="inlineStr">
        <is>
          <t>Mean α</t>
        </is>
      </c>
      <c r="K5" s="11" t="inlineStr">
        <is>
          <t>Std. dev.</t>
        </is>
      </c>
      <c r="L5" s="11" t="inlineStr">
        <is>
          <t>Range</t>
        </is>
      </c>
      <c r="M5" s="11" t="inlineStr">
        <is>
          <t>Agreement</t>
        </is>
      </c>
      <c r="O5" s="16" t="inlineStr">
        <is>
          <t>HOW TO USE — Summary</t>
        </is>
      </c>
    </row>
    <row r="6">
      <c r="A6" s="17" t="inlineStr">
        <is>
          <t>S0</t>
        </is>
      </c>
      <c r="B6" s="18">
        <f>IF(A6="","",IFERROR(INDEX(DSC!$C$23:$C$42,MATCH(A6,DSC!$A$23:$A$42,0)),IFERROR(INDEX(FTIR!$C$11:$C$35,MATCH(A6,FTIR!$A$11:$A$35,0)),IFERROR(INDEX(DMA!$C$18:$C$37,MATCH(A6,DMA!$A$18:$A$37,0)),IFERROR(INDEX(TMA!$C$20:$C$39,MATCH(A6,TMA!$A$20:$A$39,0)),IFERROR(INDEX(TMA!$C$43:$C$62,MATCH(A6,TMA!$A$43:$A$62,0)),""))))))</f>
        <v/>
      </c>
      <c r="C6" s="19">
        <f>IF($A6="","",IFERROR(INDEX(DSC!$H$23:$H$42,MATCH($A6,DSC!$A$23:$A$42,0)),""))</f>
        <v/>
      </c>
      <c r="D6" s="19">
        <f>IF($A6="","",IFERROR(INDEX(DSC!$K$23:$K$42,MATCH($A6,DSC!$A$23:$A$42,0)),""))</f>
        <v/>
      </c>
      <c r="E6" s="19">
        <f>IF($A6="","",IFERROR(INDEX(FTIR!$H$11:$H$35,MATCH($A6,FTIR!$A$11:$A$35,0)),""))</f>
        <v/>
      </c>
      <c r="F6" s="19">
        <f>IF($A6="","",IFERROR(INDEX(DMA!$K$18:$K$37,MATCH($A6,DMA!$A$18:$A$37,0)),""))</f>
        <v/>
      </c>
      <c r="G6" s="19">
        <f>IF($A6="","",IFERROR(INDEX(DMA!$L$18:$L$37,MATCH($A6,DMA!$A$18:$A$37,0)),""))</f>
        <v/>
      </c>
      <c r="H6" s="19">
        <f>IF($A6="","",IFERROR(INDEX(TMA!$S$20:$S$39,MATCH($A6,TMA!$A$20:$A$39,0)),""))</f>
        <v/>
      </c>
      <c r="I6" s="19">
        <f>IF($A6="","",IFERROR(INDEX(TMA!$T$43:$T$62,MATCH($A6,TMA!$A$43:$A$62,0)),""))</f>
        <v/>
      </c>
      <c r="J6" s="20">
        <f>IF(COUNT(C6:I6)=0,"",AVERAGE(C6:I6))</f>
        <v/>
      </c>
      <c r="K6" s="20">
        <f>IF(COUNT(C6:I6)&lt;2,"",STDEV(C6:I6))</f>
        <v/>
      </c>
      <c r="L6" s="20">
        <f>IF(COUNT(C6:I6)&lt;2,"",MAX(C6:I6)-MIN(C6:I6))</f>
        <v/>
      </c>
      <c r="M6" s="21">
        <f>IF(COUNT(C6:I6)&lt;2,"",IF(L6&gt;$D$3,"Methods disagree","Consistent"))</f>
        <v/>
      </c>
      <c r="O6" s="4" t="inlineStr">
        <is>
          <t>↩ Back to the Guide</t>
        </is>
      </c>
    </row>
    <row r="7">
      <c r="A7" s="17" t="inlineStr">
        <is>
          <t>S1</t>
        </is>
      </c>
      <c r="B7" s="18">
        <f>IF(A7="","",IFERROR(INDEX(DSC!$C$23:$C$42,MATCH(A7,DSC!$A$23:$A$42,0)),IFERROR(INDEX(FTIR!$C$11:$C$35,MATCH(A7,FTIR!$A$11:$A$35,0)),IFERROR(INDEX(DMA!$C$18:$C$37,MATCH(A7,DMA!$A$18:$A$37,0)),IFERROR(INDEX(TMA!$C$20:$C$39,MATCH(A7,TMA!$A$20:$A$39,0)),IFERROR(INDEX(TMA!$C$43:$C$62,MATCH(A7,TMA!$A$43:$A$62,0)),""))))))</f>
        <v/>
      </c>
      <c r="C7" s="19">
        <f>IF($A7="","",IFERROR(INDEX(DSC!$H$23:$H$42,MATCH($A7,DSC!$A$23:$A$42,0)),""))</f>
        <v/>
      </c>
      <c r="D7" s="19">
        <f>IF($A7="","",IFERROR(INDEX(DSC!$K$23:$K$42,MATCH($A7,DSC!$A$23:$A$42,0)),""))</f>
        <v/>
      </c>
      <c r="E7" s="19">
        <f>IF($A7="","",IFERROR(INDEX(FTIR!$H$11:$H$35,MATCH($A7,FTIR!$A$11:$A$35,0)),""))</f>
        <v/>
      </c>
      <c r="F7" s="19">
        <f>IF($A7="","",IFERROR(INDEX(DMA!$K$18:$K$37,MATCH($A7,DMA!$A$18:$A$37,0)),""))</f>
        <v/>
      </c>
      <c r="G7" s="19">
        <f>IF($A7="","",IFERROR(INDEX(DMA!$L$18:$L$37,MATCH($A7,DMA!$A$18:$A$37,0)),""))</f>
        <v/>
      </c>
      <c r="H7" s="19">
        <f>IF($A7="","",IFERROR(INDEX(TMA!$S$20:$S$39,MATCH($A7,TMA!$A$20:$A$39,0)),""))</f>
        <v/>
      </c>
      <c r="I7" s="19">
        <f>IF($A7="","",IFERROR(INDEX(TMA!$T$43:$T$62,MATCH($A7,TMA!$A$43:$A$62,0)),""))</f>
        <v/>
      </c>
      <c r="J7" s="20">
        <f>IF(COUNT(C7:I7)=0,"",AVERAGE(C7:I7))</f>
        <v/>
      </c>
      <c r="K7" s="20">
        <f>IF(COUNT(C7:I7)&lt;2,"",STDEV(C7:I7))</f>
        <v/>
      </c>
      <c r="L7" s="20">
        <f>IF(COUNT(C7:I7)&lt;2,"",MAX(C7:I7)-MIN(C7:I7))</f>
        <v/>
      </c>
      <c r="M7" s="21">
        <f>IF(COUNT(C7:I7)&lt;2,"",IF(L7&gt;$D$3,"Methods disagree","Consistent"))</f>
        <v/>
      </c>
      <c r="O7" s="5" t="inlineStr">
        <is>
          <t>1  Type each sample ID in column A exactly as it appears on the method sheets.</t>
        </is>
      </c>
    </row>
    <row r="8">
      <c r="A8" s="17" t="inlineStr">
        <is>
          <t>S2</t>
        </is>
      </c>
      <c r="B8" s="18">
        <f>IF(A8="","",IFERROR(INDEX(DSC!$C$23:$C$42,MATCH(A8,DSC!$A$23:$A$42,0)),IFERROR(INDEX(FTIR!$C$11:$C$35,MATCH(A8,FTIR!$A$11:$A$35,0)),IFERROR(INDEX(DMA!$C$18:$C$37,MATCH(A8,DMA!$A$18:$A$37,0)),IFERROR(INDEX(TMA!$C$20:$C$39,MATCH(A8,TMA!$A$20:$A$39,0)),IFERROR(INDEX(TMA!$C$43:$C$62,MATCH(A8,TMA!$A$43:$A$62,0)),""))))))</f>
        <v/>
      </c>
      <c r="C8" s="19">
        <f>IF($A8="","",IFERROR(INDEX(DSC!$H$23:$H$42,MATCH($A8,DSC!$A$23:$A$42,0)),""))</f>
        <v/>
      </c>
      <c r="D8" s="19">
        <f>IF($A8="","",IFERROR(INDEX(DSC!$K$23:$K$42,MATCH($A8,DSC!$A$23:$A$42,0)),""))</f>
        <v/>
      </c>
      <c r="E8" s="19">
        <f>IF($A8="","",IFERROR(INDEX(FTIR!$H$11:$H$35,MATCH($A8,FTIR!$A$11:$A$35,0)),""))</f>
        <v/>
      </c>
      <c r="F8" s="19">
        <f>IF($A8="","",IFERROR(INDEX(DMA!$K$18:$K$37,MATCH($A8,DMA!$A$18:$A$37,0)),""))</f>
        <v/>
      </c>
      <c r="G8" s="19">
        <f>IF($A8="","",IFERROR(INDEX(DMA!$L$18:$L$37,MATCH($A8,DMA!$A$18:$A$37,0)),""))</f>
        <v/>
      </c>
      <c r="H8" s="19">
        <f>IF($A8="","",IFERROR(INDEX(TMA!$S$20:$S$39,MATCH($A8,TMA!$A$20:$A$39,0)),""))</f>
        <v/>
      </c>
      <c r="I8" s="19">
        <f>IF($A8="","",IFERROR(INDEX(TMA!$T$43:$T$62,MATCH($A8,TMA!$A$43:$A$62,0)),""))</f>
        <v/>
      </c>
      <c r="J8" s="20">
        <f>IF(COUNT(C8:I8)=0,"",AVERAGE(C8:I8))</f>
        <v/>
      </c>
      <c r="K8" s="20">
        <f>IF(COUNT(C8:I8)&lt;2,"",STDEV(C8:I8))</f>
        <v/>
      </c>
      <c r="L8" s="20">
        <f>IF(COUNT(C8:I8)&lt;2,"",MAX(C8:I8)-MIN(C8:I8))</f>
        <v/>
      </c>
      <c r="M8" s="21">
        <f>IF(COUNT(C8:I8)&lt;2,"",IF(L8&gt;$D$3,"Methods disagree","Consistent"))</f>
        <v/>
      </c>
      <c r="O8" s="5" t="inlineStr">
        <is>
          <t>2  α from every method fills in automatically; a blank means no data on that sheet.</t>
        </is>
      </c>
    </row>
    <row r="9">
      <c r="A9" s="17" t="inlineStr">
        <is>
          <t>S3</t>
        </is>
      </c>
      <c r="B9" s="18">
        <f>IF(A9="","",IFERROR(INDEX(DSC!$C$23:$C$42,MATCH(A9,DSC!$A$23:$A$42,0)),IFERROR(INDEX(FTIR!$C$11:$C$35,MATCH(A9,FTIR!$A$11:$A$35,0)),IFERROR(INDEX(DMA!$C$18:$C$37,MATCH(A9,DMA!$A$18:$A$37,0)),IFERROR(INDEX(TMA!$C$20:$C$39,MATCH(A9,TMA!$A$20:$A$39,0)),IFERROR(INDEX(TMA!$C$43:$C$62,MATCH(A9,TMA!$A$43:$A$62,0)),""))))))</f>
        <v/>
      </c>
      <c r="C9" s="19">
        <f>IF($A9="","",IFERROR(INDEX(DSC!$H$23:$H$42,MATCH($A9,DSC!$A$23:$A$42,0)),""))</f>
        <v/>
      </c>
      <c r="D9" s="19">
        <f>IF($A9="","",IFERROR(INDEX(DSC!$K$23:$K$42,MATCH($A9,DSC!$A$23:$A$42,0)),""))</f>
        <v/>
      </c>
      <c r="E9" s="19">
        <f>IF($A9="","",IFERROR(INDEX(FTIR!$H$11:$H$35,MATCH($A9,FTIR!$A$11:$A$35,0)),""))</f>
        <v/>
      </c>
      <c r="F9" s="19">
        <f>IF($A9="","",IFERROR(INDEX(DMA!$K$18:$K$37,MATCH($A9,DMA!$A$18:$A$37,0)),""))</f>
        <v/>
      </c>
      <c r="G9" s="19">
        <f>IF($A9="","",IFERROR(INDEX(DMA!$L$18:$L$37,MATCH($A9,DMA!$A$18:$A$37,0)),""))</f>
        <v/>
      </c>
      <c r="H9" s="19">
        <f>IF($A9="","",IFERROR(INDEX(TMA!$S$20:$S$39,MATCH($A9,TMA!$A$20:$A$39,0)),""))</f>
        <v/>
      </c>
      <c r="I9" s="19">
        <f>IF($A9="","",IFERROR(INDEX(TMA!$T$43:$T$62,MATCH($A9,TMA!$A$43:$A$62,0)),""))</f>
        <v/>
      </c>
      <c r="J9" s="20">
        <f>IF(COUNT(C9:I9)=0,"",AVERAGE(C9:I9))</f>
        <v/>
      </c>
      <c r="K9" s="20">
        <f>IF(COUNT(C9:I9)&lt;2,"",STDEV(C9:I9))</f>
        <v/>
      </c>
      <c r="L9" s="20">
        <f>IF(COUNT(C9:I9)&lt;2,"",MAX(C9:I9)-MIN(C9:I9))</f>
        <v/>
      </c>
      <c r="M9" s="21">
        <f>IF(COUNT(C9:I9)&lt;2,"",IF(L9&gt;$D$3,"Methods disagree","Consistent"))</f>
        <v/>
      </c>
      <c r="O9" s="5" t="inlineStr">
        <is>
          <t>3  D3 sets the agreement tolerance (default 5 percentage points).</t>
        </is>
      </c>
    </row>
    <row r="10">
      <c r="A10" s="17" t="inlineStr">
        <is>
          <t>S4</t>
        </is>
      </c>
      <c r="B10" s="18">
        <f>IF(A10="","",IFERROR(INDEX(DSC!$C$23:$C$42,MATCH(A10,DSC!$A$23:$A$42,0)),IFERROR(INDEX(FTIR!$C$11:$C$35,MATCH(A10,FTIR!$A$11:$A$35,0)),IFERROR(INDEX(DMA!$C$18:$C$37,MATCH(A10,DMA!$A$18:$A$37,0)),IFERROR(INDEX(TMA!$C$20:$C$39,MATCH(A10,TMA!$A$20:$A$39,0)),IFERROR(INDEX(TMA!$C$43:$C$62,MATCH(A10,TMA!$A$43:$A$62,0)),""))))))</f>
        <v/>
      </c>
      <c r="C10" s="19">
        <f>IF($A10="","",IFERROR(INDEX(DSC!$H$23:$H$42,MATCH($A10,DSC!$A$23:$A$42,0)),""))</f>
        <v/>
      </c>
      <c r="D10" s="19">
        <f>IF($A10="","",IFERROR(INDEX(DSC!$K$23:$K$42,MATCH($A10,DSC!$A$23:$A$42,0)),""))</f>
        <v/>
      </c>
      <c r="E10" s="19">
        <f>IF($A10="","",IFERROR(INDEX(FTIR!$H$11:$H$35,MATCH($A10,FTIR!$A$11:$A$35,0)),""))</f>
        <v/>
      </c>
      <c r="F10" s="19">
        <f>IF($A10="","",IFERROR(INDEX(DMA!$K$18:$K$37,MATCH($A10,DMA!$A$18:$A$37,0)),""))</f>
        <v/>
      </c>
      <c r="G10" s="19">
        <f>IF($A10="","",IFERROR(INDEX(DMA!$L$18:$L$37,MATCH($A10,DMA!$A$18:$A$37,0)),""))</f>
        <v/>
      </c>
      <c r="H10" s="19">
        <f>IF($A10="","",IFERROR(INDEX(TMA!$S$20:$S$39,MATCH($A10,TMA!$A$20:$A$39,0)),""))</f>
        <v/>
      </c>
      <c r="I10" s="19">
        <f>IF($A10="","",IFERROR(INDEX(TMA!$T$43:$T$62,MATCH($A10,TMA!$A$43:$A$62,0)),""))</f>
        <v/>
      </c>
      <c r="J10" s="20">
        <f>IF(COUNT(C10:I10)=0,"",AVERAGE(C10:I10))</f>
        <v/>
      </c>
      <c r="K10" s="20">
        <f>IF(COUNT(C10:I10)&lt;2,"",STDEV(C10:I10))</f>
        <v/>
      </c>
      <c r="L10" s="20">
        <f>IF(COUNT(C10:I10)&lt;2,"",MAX(C10:I10)-MIN(C10:I10))</f>
        <v/>
      </c>
      <c r="M10" s="21">
        <f>IF(COUNT(C10:I10)&lt;2,"",IF(L10&gt;$D$3,"Methods disagree","Consistent"))</f>
        <v/>
      </c>
      <c r="O10" s="5" t="inlineStr">
        <is>
          <t>4  Columns J–L: mean, standard deviation and range of the methods that have data.</t>
        </is>
      </c>
    </row>
    <row r="11">
      <c r="A11" s="17" t="n"/>
      <c r="B11" s="18">
        <f>IF(A11="","",IFERROR(INDEX(DSC!$C$23:$C$42,MATCH(A11,DSC!$A$23:$A$42,0)),IFERROR(INDEX(FTIR!$C$11:$C$35,MATCH(A11,FTIR!$A$11:$A$35,0)),IFERROR(INDEX(DMA!$C$18:$C$37,MATCH(A11,DMA!$A$18:$A$37,0)),IFERROR(INDEX(TMA!$C$20:$C$39,MATCH(A11,TMA!$A$20:$A$39,0)),IFERROR(INDEX(TMA!$C$43:$C$62,MATCH(A11,TMA!$A$43:$A$62,0)),""))))))</f>
        <v/>
      </c>
      <c r="C11" s="19">
        <f>IF($A11="","",IFERROR(INDEX(DSC!$H$23:$H$42,MATCH($A11,DSC!$A$23:$A$42,0)),""))</f>
        <v/>
      </c>
      <c r="D11" s="19">
        <f>IF($A11="","",IFERROR(INDEX(DSC!$K$23:$K$42,MATCH($A11,DSC!$A$23:$A$42,0)),""))</f>
        <v/>
      </c>
      <c r="E11" s="19">
        <f>IF($A11="","",IFERROR(INDEX(FTIR!$H$11:$H$35,MATCH($A11,FTIR!$A$11:$A$35,0)),""))</f>
        <v/>
      </c>
      <c r="F11" s="19">
        <f>IF($A11="","",IFERROR(INDEX(DMA!$K$18:$K$37,MATCH($A11,DMA!$A$18:$A$37,0)),""))</f>
        <v/>
      </c>
      <c r="G11" s="19">
        <f>IF($A11="","",IFERROR(INDEX(DMA!$L$18:$L$37,MATCH($A11,DMA!$A$18:$A$37,0)),""))</f>
        <v/>
      </c>
      <c r="H11" s="19">
        <f>IF($A11="","",IFERROR(INDEX(TMA!$S$20:$S$39,MATCH($A11,TMA!$A$20:$A$39,0)),""))</f>
        <v/>
      </c>
      <c r="I11" s="19">
        <f>IF($A11="","",IFERROR(INDEX(TMA!$T$43:$T$62,MATCH($A11,TMA!$A$43:$A$62,0)),""))</f>
        <v/>
      </c>
      <c r="J11" s="20">
        <f>IF(COUNT(C11:I11)=0,"",AVERAGE(C11:I11))</f>
        <v/>
      </c>
      <c r="K11" s="20">
        <f>IF(COUNT(C11:I11)&lt;2,"",STDEV(C11:I11))</f>
        <v/>
      </c>
      <c r="L11" s="20">
        <f>IF(COUNT(C11:I11)&lt;2,"",MAX(C11:I11)-MIN(C11:I11))</f>
        <v/>
      </c>
      <c r="M11" s="21">
        <f>IF(COUNT(C11:I11)&lt;2,"",IF(L11&gt;$D$3,"Methods disagree","Consistent"))</f>
        <v/>
      </c>
      <c r="O11" s="22" t="inlineStr">
        <is>
          <t>Reading disagreements</t>
        </is>
      </c>
    </row>
    <row r="12">
      <c r="A12" s="17" t="n"/>
      <c r="B12" s="18">
        <f>IF(A12="","",IFERROR(INDEX(DSC!$C$23:$C$42,MATCH(A12,DSC!$A$23:$A$42,0)),IFERROR(INDEX(FTIR!$C$11:$C$35,MATCH(A12,FTIR!$A$11:$A$35,0)),IFERROR(INDEX(DMA!$C$18:$C$37,MATCH(A12,DMA!$A$18:$A$37,0)),IFERROR(INDEX(TMA!$C$20:$C$39,MATCH(A12,TMA!$A$20:$A$39,0)),IFERROR(INDEX(TMA!$C$43:$C$62,MATCH(A12,TMA!$A$43:$A$62,0)),""))))))</f>
        <v/>
      </c>
      <c r="C12" s="19">
        <f>IF($A12="","",IFERROR(INDEX(DSC!$H$23:$H$42,MATCH($A12,DSC!$A$23:$A$42,0)),""))</f>
        <v/>
      </c>
      <c r="D12" s="19">
        <f>IF($A12="","",IFERROR(INDEX(DSC!$K$23:$K$42,MATCH($A12,DSC!$A$23:$A$42,0)),""))</f>
        <v/>
      </c>
      <c r="E12" s="19">
        <f>IF($A12="","",IFERROR(INDEX(FTIR!$H$11:$H$35,MATCH($A12,FTIR!$A$11:$A$35,0)),""))</f>
        <v/>
      </c>
      <c r="F12" s="19">
        <f>IF($A12="","",IFERROR(INDEX(DMA!$K$18:$K$37,MATCH($A12,DMA!$A$18:$A$37,0)),""))</f>
        <v/>
      </c>
      <c r="G12" s="19">
        <f>IF($A12="","",IFERROR(INDEX(DMA!$L$18:$L$37,MATCH($A12,DMA!$A$18:$A$37,0)),""))</f>
        <v/>
      </c>
      <c r="H12" s="19">
        <f>IF($A12="","",IFERROR(INDEX(TMA!$S$20:$S$39,MATCH($A12,TMA!$A$20:$A$39,0)),""))</f>
        <v/>
      </c>
      <c r="I12" s="19">
        <f>IF($A12="","",IFERROR(INDEX(TMA!$T$43:$T$62,MATCH($A12,TMA!$A$43:$A$62,0)),""))</f>
        <v/>
      </c>
      <c r="J12" s="20">
        <f>IF(COUNT(C12:I12)=0,"",AVERAGE(C12:I12))</f>
        <v/>
      </c>
      <c r="K12" s="20">
        <f>IF(COUNT(C12:I12)&lt;2,"",STDEV(C12:I12))</f>
        <v/>
      </c>
      <c r="L12" s="20">
        <f>IF(COUNT(C12:I12)&lt;2,"",MAX(C12:I12)-MIN(C12:I12))</f>
        <v/>
      </c>
      <c r="M12" s="21">
        <f>IF(COUNT(C12:I12)&lt;2,"",IF(L12&gt;$D$3,"Methods disagree","Consistent"))</f>
        <v/>
      </c>
      <c r="O12" s="5" t="inlineStr">
        <is>
          <t>•  FTIR &gt; DSC heat → NCO used without urethane heat: moisture → urea, allophanate, isocyanurate.</t>
        </is>
      </c>
    </row>
    <row r="13">
      <c r="A13" s="17" t="n"/>
      <c r="B13" s="18">
        <f>IF(A13="","",IFERROR(INDEX(DSC!$C$23:$C$42,MATCH(A13,DSC!$A$23:$A$42,0)),IFERROR(INDEX(FTIR!$C$11:$C$35,MATCH(A13,FTIR!$A$11:$A$35,0)),IFERROR(INDEX(DMA!$C$18:$C$37,MATCH(A13,DMA!$A$18:$A$37,0)),IFERROR(INDEX(TMA!$C$20:$C$39,MATCH(A13,TMA!$A$20:$A$39,0)),IFERROR(INDEX(TMA!$C$43:$C$62,MATCH(A13,TMA!$A$43:$A$62,0)),""))))))</f>
        <v/>
      </c>
      <c r="C13" s="19">
        <f>IF($A13="","",IFERROR(INDEX(DSC!$H$23:$H$42,MATCH($A13,DSC!$A$23:$A$42,0)),""))</f>
        <v/>
      </c>
      <c r="D13" s="19">
        <f>IF($A13="","",IFERROR(INDEX(DSC!$K$23:$K$42,MATCH($A13,DSC!$A$23:$A$42,0)),""))</f>
        <v/>
      </c>
      <c r="E13" s="19">
        <f>IF($A13="","",IFERROR(INDEX(FTIR!$H$11:$H$35,MATCH($A13,FTIR!$A$11:$A$35,0)),""))</f>
        <v/>
      </c>
      <c r="F13" s="19">
        <f>IF($A13="","",IFERROR(INDEX(DMA!$K$18:$K$37,MATCH($A13,DMA!$A$18:$A$37,0)),""))</f>
        <v/>
      </c>
      <c r="G13" s="19">
        <f>IF($A13="","",IFERROR(INDEX(DMA!$L$18:$L$37,MATCH($A13,DMA!$A$18:$A$37,0)),""))</f>
        <v/>
      </c>
      <c r="H13" s="19">
        <f>IF($A13="","",IFERROR(INDEX(TMA!$S$20:$S$39,MATCH($A13,TMA!$A$20:$A$39,0)),""))</f>
        <v/>
      </c>
      <c r="I13" s="19">
        <f>IF($A13="","",IFERROR(INDEX(TMA!$T$43:$T$62,MATCH($A13,TMA!$A$43:$A$62,0)),""))</f>
        <v/>
      </c>
      <c r="J13" s="20">
        <f>IF(COUNT(C13:I13)=0,"",AVERAGE(C13:I13))</f>
        <v/>
      </c>
      <c r="K13" s="20">
        <f>IF(COUNT(C13:I13)&lt;2,"",STDEV(C13:I13))</f>
        <v/>
      </c>
      <c r="L13" s="20">
        <f>IF(COUNT(C13:I13)&lt;2,"",MAX(C13:I13)-MIN(C13:I13))</f>
        <v/>
      </c>
      <c r="M13" s="21">
        <f>IF(COUNT(C13:I13)&lt;2,"",IF(L13&gt;$D$3,"Methods disagree","Consistent"))</f>
        <v/>
      </c>
      <c r="O13" s="5" t="inlineStr">
        <is>
          <t>•  Modulus routes (DMA, TMA) &gt; others → physical crosslinks or hard-segment phase separation.</t>
        </is>
      </c>
    </row>
    <row r="14">
      <c r="A14" s="17" t="n"/>
      <c r="B14" s="18">
        <f>IF(A14="","",IFERROR(INDEX(DSC!$C$23:$C$42,MATCH(A14,DSC!$A$23:$A$42,0)),IFERROR(INDEX(FTIR!$C$11:$C$35,MATCH(A14,FTIR!$A$11:$A$35,0)),IFERROR(INDEX(DMA!$C$18:$C$37,MATCH(A14,DMA!$A$18:$A$37,0)),IFERROR(INDEX(TMA!$C$20:$C$39,MATCH(A14,TMA!$A$20:$A$39,0)),IFERROR(INDEX(TMA!$C$43:$C$62,MATCH(A14,TMA!$A$43:$A$62,0)),""))))))</f>
        <v/>
      </c>
      <c r="C14" s="19">
        <f>IF($A14="","",IFERROR(INDEX(DSC!$H$23:$H$42,MATCH($A14,DSC!$A$23:$A$42,0)),""))</f>
        <v/>
      </c>
      <c r="D14" s="19">
        <f>IF($A14="","",IFERROR(INDEX(DSC!$K$23:$K$42,MATCH($A14,DSC!$A$23:$A$42,0)),""))</f>
        <v/>
      </c>
      <c r="E14" s="19">
        <f>IF($A14="","",IFERROR(INDEX(FTIR!$H$11:$H$35,MATCH($A14,FTIR!$A$11:$A$35,0)),""))</f>
        <v/>
      </c>
      <c r="F14" s="19">
        <f>IF($A14="","",IFERROR(INDEX(DMA!$K$18:$K$37,MATCH($A14,DMA!$A$18:$A$37,0)),""))</f>
        <v/>
      </c>
      <c r="G14" s="19">
        <f>IF($A14="","",IFERROR(INDEX(DMA!$L$18:$L$37,MATCH($A14,DMA!$A$18:$A$37,0)),""))</f>
        <v/>
      </c>
      <c r="H14" s="19">
        <f>IF($A14="","",IFERROR(INDEX(TMA!$S$20:$S$39,MATCH($A14,TMA!$A$20:$A$39,0)),""))</f>
        <v/>
      </c>
      <c r="I14" s="19">
        <f>IF($A14="","",IFERROR(INDEX(TMA!$T$43:$T$62,MATCH($A14,TMA!$A$43:$A$62,0)),""))</f>
        <v/>
      </c>
      <c r="J14" s="20">
        <f>IF(COUNT(C14:I14)=0,"",AVERAGE(C14:I14))</f>
        <v/>
      </c>
      <c r="K14" s="20">
        <f>IF(COUNT(C14:I14)&lt;2,"",STDEV(C14:I14))</f>
        <v/>
      </c>
      <c r="L14" s="20">
        <f>IF(COUNT(C14:I14)&lt;2,"",MAX(C14:I14)-MIN(C14:I14))</f>
        <v/>
      </c>
      <c r="M14" s="21">
        <f>IF(COUNT(C14:I14)&lt;2,"",IF(L14&gt;$D$3,"Methods disagree","Consistent"))</f>
        <v/>
      </c>
      <c r="O14" s="5" t="inlineStr">
        <is>
          <t>•  Tg routes scatter at low α → Tg barely moves early in cure when λ &lt; 1; trust heat or FTIR there.</t>
        </is>
      </c>
    </row>
    <row r="15">
      <c r="A15" s="17" t="n"/>
      <c r="B15" s="18">
        <f>IF(A15="","",IFERROR(INDEX(DSC!$C$23:$C$42,MATCH(A15,DSC!$A$23:$A$42,0)),IFERROR(INDEX(FTIR!$C$11:$C$35,MATCH(A15,FTIR!$A$11:$A$35,0)),IFERROR(INDEX(DMA!$C$18:$C$37,MATCH(A15,DMA!$A$18:$A$37,0)),IFERROR(INDEX(TMA!$C$20:$C$39,MATCH(A15,TMA!$A$20:$A$39,0)),IFERROR(INDEX(TMA!$C$43:$C$62,MATCH(A15,TMA!$A$43:$A$62,0)),""))))))</f>
        <v/>
      </c>
      <c r="C15" s="19">
        <f>IF($A15="","",IFERROR(INDEX(DSC!$H$23:$H$42,MATCH($A15,DSC!$A$23:$A$42,0)),""))</f>
        <v/>
      </c>
      <c r="D15" s="19">
        <f>IF($A15="","",IFERROR(INDEX(DSC!$K$23:$K$42,MATCH($A15,DSC!$A$23:$A$42,0)),""))</f>
        <v/>
      </c>
      <c r="E15" s="19">
        <f>IF($A15="","",IFERROR(INDEX(FTIR!$H$11:$H$35,MATCH($A15,FTIR!$A$11:$A$35,0)),""))</f>
        <v/>
      </c>
      <c r="F15" s="19">
        <f>IF($A15="","",IFERROR(INDEX(DMA!$K$18:$K$37,MATCH($A15,DMA!$A$18:$A$37,0)),""))</f>
        <v/>
      </c>
      <c r="G15" s="19">
        <f>IF($A15="","",IFERROR(INDEX(DMA!$L$18:$L$37,MATCH($A15,DMA!$A$18:$A$37,0)),""))</f>
        <v/>
      </c>
      <c r="H15" s="19">
        <f>IF($A15="","",IFERROR(INDEX(TMA!$S$20:$S$39,MATCH($A15,TMA!$A$20:$A$39,0)),""))</f>
        <v/>
      </c>
      <c r="I15" s="19">
        <f>IF($A15="","",IFERROR(INDEX(TMA!$T$43:$T$62,MATCH($A15,TMA!$A$43:$A$62,0)),""))</f>
        <v/>
      </c>
      <c r="J15" s="20">
        <f>IF(COUNT(C15:I15)=0,"",AVERAGE(C15:I15))</f>
        <v/>
      </c>
      <c r="K15" s="20">
        <f>IF(COUNT(C15:I15)&lt;2,"",STDEV(C15:I15))</f>
        <v/>
      </c>
      <c r="L15" s="20">
        <f>IF(COUNT(C15:I15)&lt;2,"",MAX(C15:I15)-MIN(C15:I15))</f>
        <v/>
      </c>
      <c r="M15" s="21">
        <f>IF(COUNT(C15:I15)&lt;2,"",IF(L15&gt;$D$3,"Methods disagree","Consistent"))</f>
        <v/>
      </c>
      <c r="O15" s="5" t="inlineStr">
        <is>
          <t>•  DSC heat low at high α → a small residual exotherm lost in noise, or a baseline drawn too high.</t>
        </is>
      </c>
    </row>
    <row r="16">
      <c r="A16" s="17" t="n"/>
      <c r="B16" s="18">
        <f>IF(A16="","",IFERROR(INDEX(DSC!$C$23:$C$42,MATCH(A16,DSC!$A$23:$A$42,0)),IFERROR(INDEX(FTIR!$C$11:$C$35,MATCH(A16,FTIR!$A$11:$A$35,0)),IFERROR(INDEX(DMA!$C$18:$C$37,MATCH(A16,DMA!$A$18:$A$37,0)),IFERROR(INDEX(TMA!$C$20:$C$39,MATCH(A16,TMA!$A$20:$A$39,0)),IFERROR(INDEX(TMA!$C$43:$C$62,MATCH(A16,TMA!$A$43:$A$62,0)),""))))))</f>
        <v/>
      </c>
      <c r="C16" s="19">
        <f>IF($A16="","",IFERROR(INDEX(DSC!$H$23:$H$42,MATCH($A16,DSC!$A$23:$A$42,0)),""))</f>
        <v/>
      </c>
      <c r="D16" s="19">
        <f>IF($A16="","",IFERROR(INDEX(DSC!$K$23:$K$42,MATCH($A16,DSC!$A$23:$A$42,0)),""))</f>
        <v/>
      </c>
      <c r="E16" s="19">
        <f>IF($A16="","",IFERROR(INDEX(FTIR!$H$11:$H$35,MATCH($A16,FTIR!$A$11:$A$35,0)),""))</f>
        <v/>
      </c>
      <c r="F16" s="19">
        <f>IF($A16="","",IFERROR(INDEX(DMA!$K$18:$K$37,MATCH($A16,DMA!$A$18:$A$37,0)),""))</f>
        <v/>
      </c>
      <c r="G16" s="19">
        <f>IF($A16="","",IFERROR(INDEX(DMA!$L$18:$L$37,MATCH($A16,DMA!$A$18:$A$37,0)),""))</f>
        <v/>
      </c>
      <c r="H16" s="19">
        <f>IF($A16="","",IFERROR(INDEX(TMA!$S$20:$S$39,MATCH($A16,TMA!$A$20:$A$39,0)),""))</f>
        <v/>
      </c>
      <c r="I16" s="19">
        <f>IF($A16="","",IFERROR(INDEX(TMA!$T$43:$T$62,MATCH($A16,TMA!$A$43:$A$62,0)),""))</f>
        <v/>
      </c>
      <c r="J16" s="20">
        <f>IF(COUNT(C16:I16)=0,"",AVERAGE(C16:I16))</f>
        <v/>
      </c>
      <c r="K16" s="20">
        <f>IF(COUNT(C16:I16)&lt;2,"",STDEV(C16:I16))</f>
        <v/>
      </c>
      <c r="L16" s="20">
        <f>IF(COUNT(C16:I16)&lt;2,"",MAX(C16:I16)-MIN(C16:I16))</f>
        <v/>
      </c>
      <c r="M16" s="21">
        <f>IF(COUNT(C16:I16)&lt;2,"",IF(L16&gt;$D$3,"Methods disagree","Consistent"))</f>
        <v/>
      </c>
      <c r="O16" s="22" t="inlineStr">
        <is>
          <t>Specimens</t>
        </is>
      </c>
    </row>
    <row r="17">
      <c r="A17" s="17" t="n"/>
      <c r="B17" s="18">
        <f>IF(A17="","",IFERROR(INDEX(DSC!$C$23:$C$42,MATCH(A17,DSC!$A$23:$A$42,0)),IFERROR(INDEX(FTIR!$C$11:$C$35,MATCH(A17,FTIR!$A$11:$A$35,0)),IFERROR(INDEX(DMA!$C$18:$C$37,MATCH(A17,DMA!$A$18:$A$37,0)),IFERROR(INDEX(TMA!$C$20:$C$39,MATCH(A17,TMA!$A$20:$A$39,0)),IFERROR(INDEX(TMA!$C$43:$C$62,MATCH(A17,TMA!$A$43:$A$62,0)),""))))))</f>
        <v/>
      </c>
      <c r="C17" s="19">
        <f>IF($A17="","",IFERROR(INDEX(DSC!$H$23:$H$42,MATCH($A17,DSC!$A$23:$A$42,0)),""))</f>
        <v/>
      </c>
      <c r="D17" s="19">
        <f>IF($A17="","",IFERROR(INDEX(DSC!$K$23:$K$42,MATCH($A17,DSC!$A$23:$A$42,0)),""))</f>
        <v/>
      </c>
      <c r="E17" s="19">
        <f>IF($A17="","",IFERROR(INDEX(FTIR!$H$11:$H$35,MATCH($A17,FTIR!$A$11:$A$35,0)),""))</f>
        <v/>
      </c>
      <c r="F17" s="19">
        <f>IF($A17="","",IFERROR(INDEX(DMA!$K$18:$K$37,MATCH($A17,DMA!$A$18:$A$37,0)),""))</f>
        <v/>
      </c>
      <c r="G17" s="19">
        <f>IF($A17="","",IFERROR(INDEX(DMA!$L$18:$L$37,MATCH($A17,DMA!$A$18:$A$37,0)),""))</f>
        <v/>
      </c>
      <c r="H17" s="19">
        <f>IF($A17="","",IFERROR(INDEX(TMA!$S$20:$S$39,MATCH($A17,TMA!$A$20:$A$39,0)),""))</f>
        <v/>
      </c>
      <c r="I17" s="19">
        <f>IF($A17="","",IFERROR(INDEX(TMA!$T$43:$T$62,MATCH($A17,TMA!$A$43:$A$62,0)),""))</f>
        <v/>
      </c>
      <c r="J17" s="20">
        <f>IF(COUNT(C17:I17)=0,"",AVERAGE(C17:I17))</f>
        <v/>
      </c>
      <c r="K17" s="20">
        <f>IF(COUNT(C17:I17)&lt;2,"",STDEV(C17:I17))</f>
        <v/>
      </c>
      <c r="L17" s="20">
        <f>IF(COUNT(C17:I17)&lt;2,"",MAX(C17:I17)-MIN(C17:I17))</f>
        <v/>
      </c>
      <c r="M17" s="21">
        <f>IF(COUNT(C17:I17)&lt;2,"",IF(L17&gt;$D$3,"Methods disagree","Consistent"))</f>
        <v/>
      </c>
      <c r="O17" s="5" t="inlineStr">
        <is>
          <t>Matched specimens: one batch, cured together, the same Sample ID on every sheet.</t>
        </is>
      </c>
    </row>
    <row r="18">
      <c r="A18" s="17" t="n"/>
      <c r="B18" s="18">
        <f>IF(A18="","",IFERROR(INDEX(DSC!$C$23:$C$42,MATCH(A18,DSC!$A$23:$A$42,0)),IFERROR(INDEX(FTIR!$C$11:$C$35,MATCH(A18,FTIR!$A$11:$A$35,0)),IFERROR(INDEX(DMA!$C$18:$C$37,MATCH(A18,DMA!$A$18:$A$37,0)),IFERROR(INDEX(TMA!$C$20:$C$39,MATCH(A18,TMA!$A$20:$A$39,0)),IFERROR(INDEX(TMA!$C$43:$C$62,MATCH(A18,TMA!$A$43:$A$62,0)),""))))))</f>
        <v/>
      </c>
      <c r="C18" s="19">
        <f>IF($A18="","",IFERROR(INDEX(DSC!$H$23:$H$42,MATCH($A18,DSC!$A$23:$A$42,0)),""))</f>
        <v/>
      </c>
      <c r="D18" s="19">
        <f>IF($A18="","",IFERROR(INDEX(DSC!$K$23:$K$42,MATCH($A18,DSC!$A$23:$A$42,0)),""))</f>
        <v/>
      </c>
      <c r="E18" s="19">
        <f>IF($A18="","",IFERROR(INDEX(FTIR!$H$11:$H$35,MATCH($A18,FTIR!$A$11:$A$35,0)),""))</f>
        <v/>
      </c>
      <c r="F18" s="19">
        <f>IF($A18="","",IFERROR(INDEX(DMA!$K$18:$K$37,MATCH($A18,DMA!$A$18:$A$37,0)),""))</f>
        <v/>
      </c>
      <c r="G18" s="19">
        <f>IF($A18="","",IFERROR(INDEX(DMA!$L$18:$L$37,MATCH($A18,DMA!$A$18:$A$37,0)),""))</f>
        <v/>
      </c>
      <c r="H18" s="19">
        <f>IF($A18="","",IFERROR(INDEX(TMA!$S$20:$S$39,MATCH($A18,TMA!$A$20:$A$39,0)),""))</f>
        <v/>
      </c>
      <c r="I18" s="19">
        <f>IF($A18="","",IFERROR(INDEX(TMA!$T$43:$T$62,MATCH($A18,TMA!$A$43:$A$62,0)),""))</f>
        <v/>
      </c>
      <c r="J18" s="20">
        <f>IF(COUNT(C18:I18)=0,"",AVERAGE(C18:I18))</f>
        <v/>
      </c>
      <c r="K18" s="20">
        <f>IF(COUNT(C18:I18)&lt;2,"",STDEV(C18:I18))</f>
        <v/>
      </c>
      <c r="L18" s="20">
        <f>IF(COUNT(C18:I18)&lt;2,"",MAX(C18:I18)-MIN(C18:I18))</f>
        <v/>
      </c>
      <c r="M18" s="21">
        <f>IF(COUNT(C18:I18)&lt;2,"",IF(L18&gt;$D$3,"Methods disagree","Consistent"))</f>
        <v/>
      </c>
      <c r="O18" s="4" t="inlineStr">
        <is>
          <t>▸ Full preparation protocol for this sheet (Sample_Prep)</t>
        </is>
      </c>
    </row>
    <row r="19">
      <c r="A19" s="17" t="n"/>
      <c r="B19" s="18">
        <f>IF(A19="","",IFERROR(INDEX(DSC!$C$23:$C$42,MATCH(A19,DSC!$A$23:$A$42,0)),IFERROR(INDEX(FTIR!$C$11:$C$35,MATCH(A19,FTIR!$A$11:$A$35,0)),IFERROR(INDEX(DMA!$C$18:$C$37,MATCH(A19,DMA!$A$18:$A$37,0)),IFERROR(INDEX(TMA!$C$20:$C$39,MATCH(A19,TMA!$A$20:$A$39,0)),IFERROR(INDEX(TMA!$C$43:$C$62,MATCH(A19,TMA!$A$43:$A$62,0)),""))))))</f>
        <v/>
      </c>
      <c r="C19" s="19">
        <f>IF($A19="","",IFERROR(INDEX(DSC!$H$23:$H$42,MATCH($A19,DSC!$A$23:$A$42,0)),""))</f>
        <v/>
      </c>
      <c r="D19" s="19">
        <f>IF($A19="","",IFERROR(INDEX(DSC!$K$23:$K$42,MATCH($A19,DSC!$A$23:$A$42,0)),""))</f>
        <v/>
      </c>
      <c r="E19" s="19">
        <f>IF($A19="","",IFERROR(INDEX(FTIR!$H$11:$H$35,MATCH($A19,FTIR!$A$11:$A$35,0)),""))</f>
        <v/>
      </c>
      <c r="F19" s="19">
        <f>IF($A19="","",IFERROR(INDEX(DMA!$K$18:$K$37,MATCH($A19,DMA!$A$18:$A$37,0)),""))</f>
        <v/>
      </c>
      <c r="G19" s="19">
        <f>IF($A19="","",IFERROR(INDEX(DMA!$L$18:$L$37,MATCH($A19,DMA!$A$18:$A$37,0)),""))</f>
        <v/>
      </c>
      <c r="H19" s="19">
        <f>IF($A19="","",IFERROR(INDEX(TMA!$S$20:$S$39,MATCH($A19,TMA!$A$20:$A$39,0)),""))</f>
        <v/>
      </c>
      <c r="I19" s="19">
        <f>IF($A19="","",IFERROR(INDEX(TMA!$T$43:$T$62,MATCH($A19,TMA!$A$43:$A$62,0)),""))</f>
        <v/>
      </c>
      <c r="J19" s="20">
        <f>IF(COUNT(C19:I19)=0,"",AVERAGE(C19:I19))</f>
        <v/>
      </c>
      <c r="K19" s="20">
        <f>IF(COUNT(C19:I19)&lt;2,"",STDEV(C19:I19))</f>
        <v/>
      </c>
      <c r="L19" s="20">
        <f>IF(COUNT(C19:I19)&lt;2,"",MAX(C19:I19)-MIN(C19:I19))</f>
        <v/>
      </c>
      <c r="M19" s="21">
        <f>IF(COUNT(C19:I19)&lt;2,"",IF(L19&gt;$D$3,"Methods disagree","Consistent"))</f>
        <v/>
      </c>
    </row>
    <row r="20">
      <c r="A20" s="17" t="n"/>
      <c r="B20" s="18">
        <f>IF(A20="","",IFERROR(INDEX(DSC!$C$23:$C$42,MATCH(A20,DSC!$A$23:$A$42,0)),IFERROR(INDEX(FTIR!$C$11:$C$35,MATCH(A20,FTIR!$A$11:$A$35,0)),IFERROR(INDEX(DMA!$C$18:$C$37,MATCH(A20,DMA!$A$18:$A$37,0)),IFERROR(INDEX(TMA!$C$20:$C$39,MATCH(A20,TMA!$A$20:$A$39,0)),IFERROR(INDEX(TMA!$C$43:$C$62,MATCH(A20,TMA!$A$43:$A$62,0)),""))))))</f>
        <v/>
      </c>
      <c r="C20" s="19">
        <f>IF($A20="","",IFERROR(INDEX(DSC!$H$23:$H$42,MATCH($A20,DSC!$A$23:$A$42,0)),""))</f>
        <v/>
      </c>
      <c r="D20" s="19">
        <f>IF($A20="","",IFERROR(INDEX(DSC!$K$23:$K$42,MATCH($A20,DSC!$A$23:$A$42,0)),""))</f>
        <v/>
      </c>
      <c r="E20" s="19">
        <f>IF($A20="","",IFERROR(INDEX(FTIR!$H$11:$H$35,MATCH($A20,FTIR!$A$11:$A$35,0)),""))</f>
        <v/>
      </c>
      <c r="F20" s="19">
        <f>IF($A20="","",IFERROR(INDEX(DMA!$K$18:$K$37,MATCH($A20,DMA!$A$18:$A$37,0)),""))</f>
        <v/>
      </c>
      <c r="G20" s="19">
        <f>IF($A20="","",IFERROR(INDEX(DMA!$L$18:$L$37,MATCH($A20,DMA!$A$18:$A$37,0)),""))</f>
        <v/>
      </c>
      <c r="H20" s="19">
        <f>IF($A20="","",IFERROR(INDEX(TMA!$S$20:$S$39,MATCH($A20,TMA!$A$20:$A$39,0)),""))</f>
        <v/>
      </c>
      <c r="I20" s="19">
        <f>IF($A20="","",IFERROR(INDEX(TMA!$T$43:$T$62,MATCH($A20,TMA!$A$43:$A$62,0)),""))</f>
        <v/>
      </c>
      <c r="J20" s="20">
        <f>IF(COUNT(C20:I20)=0,"",AVERAGE(C20:I20))</f>
        <v/>
      </c>
      <c r="K20" s="20">
        <f>IF(COUNT(C20:I20)&lt;2,"",STDEV(C20:I20))</f>
        <v/>
      </c>
      <c r="L20" s="20">
        <f>IF(COUNT(C20:I20)&lt;2,"",MAX(C20:I20)-MIN(C20:I20))</f>
        <v/>
      </c>
      <c r="M20" s="21">
        <f>IF(COUNT(C20:I20)&lt;2,"",IF(L20&gt;$D$3,"Methods disagree","Consistent"))</f>
        <v/>
      </c>
      <c r="O20" s="22" t="inlineStr">
        <is>
          <t>Figure — schematic only: the usual patterns when methods disagree.</t>
        </is>
      </c>
    </row>
    <row r="21">
      <c r="A21" s="17" t="n"/>
      <c r="B21" s="18">
        <f>IF(A21="","",IFERROR(INDEX(DSC!$C$23:$C$42,MATCH(A21,DSC!$A$23:$A$42,0)),IFERROR(INDEX(FTIR!$C$11:$C$35,MATCH(A21,FTIR!$A$11:$A$35,0)),IFERROR(INDEX(DMA!$C$18:$C$37,MATCH(A21,DMA!$A$18:$A$37,0)),IFERROR(INDEX(TMA!$C$20:$C$39,MATCH(A21,TMA!$A$20:$A$39,0)),IFERROR(INDEX(TMA!$C$43:$C$62,MATCH(A21,TMA!$A$43:$A$62,0)),""))))))</f>
        <v/>
      </c>
      <c r="C21" s="19">
        <f>IF($A21="","",IFERROR(INDEX(DSC!$H$23:$H$42,MATCH($A21,DSC!$A$23:$A$42,0)),""))</f>
        <v/>
      </c>
      <c r="D21" s="19">
        <f>IF($A21="","",IFERROR(INDEX(DSC!$K$23:$K$42,MATCH($A21,DSC!$A$23:$A$42,0)),""))</f>
        <v/>
      </c>
      <c r="E21" s="19">
        <f>IF($A21="","",IFERROR(INDEX(FTIR!$H$11:$H$35,MATCH($A21,FTIR!$A$11:$A$35,0)),""))</f>
        <v/>
      </c>
      <c r="F21" s="19">
        <f>IF($A21="","",IFERROR(INDEX(DMA!$K$18:$K$37,MATCH($A21,DMA!$A$18:$A$37,0)),""))</f>
        <v/>
      </c>
      <c r="G21" s="19">
        <f>IF($A21="","",IFERROR(INDEX(DMA!$L$18:$L$37,MATCH($A21,DMA!$A$18:$A$37,0)),""))</f>
        <v/>
      </c>
      <c r="H21" s="19">
        <f>IF($A21="","",IFERROR(INDEX(TMA!$S$20:$S$39,MATCH($A21,TMA!$A$20:$A$39,0)),""))</f>
        <v/>
      </c>
      <c r="I21" s="19">
        <f>IF($A21="","",IFERROR(INDEX(TMA!$T$43:$T$62,MATCH($A21,TMA!$A$43:$A$62,0)),""))</f>
        <v/>
      </c>
      <c r="J21" s="20">
        <f>IF(COUNT(C21:I21)=0,"",AVERAGE(C21:I21))</f>
        <v/>
      </c>
      <c r="K21" s="20">
        <f>IF(COUNT(C21:I21)&lt;2,"",STDEV(C21:I21))</f>
        <v/>
      </c>
      <c r="L21" s="20">
        <f>IF(COUNT(C21:I21)&lt;2,"",MAX(C21:I21)-MIN(C21:I21))</f>
        <v/>
      </c>
      <c r="M21" s="21">
        <f>IF(COUNT(C21:I21)&lt;2,"",IF(L21&gt;$D$3,"Methods disagree","Consistent"))</f>
        <v/>
      </c>
    </row>
    <row r="22">
      <c r="A22" s="17" t="n"/>
      <c r="B22" s="18">
        <f>IF(A22="","",IFERROR(INDEX(DSC!$C$23:$C$42,MATCH(A22,DSC!$A$23:$A$42,0)),IFERROR(INDEX(FTIR!$C$11:$C$35,MATCH(A22,FTIR!$A$11:$A$35,0)),IFERROR(INDEX(DMA!$C$18:$C$37,MATCH(A22,DMA!$A$18:$A$37,0)),IFERROR(INDEX(TMA!$C$20:$C$39,MATCH(A22,TMA!$A$20:$A$39,0)),IFERROR(INDEX(TMA!$C$43:$C$62,MATCH(A22,TMA!$A$43:$A$62,0)),""))))))</f>
        <v/>
      </c>
      <c r="C22" s="19">
        <f>IF($A22="","",IFERROR(INDEX(DSC!$H$23:$H$42,MATCH($A22,DSC!$A$23:$A$42,0)),""))</f>
        <v/>
      </c>
      <c r="D22" s="19">
        <f>IF($A22="","",IFERROR(INDEX(DSC!$K$23:$K$42,MATCH($A22,DSC!$A$23:$A$42,0)),""))</f>
        <v/>
      </c>
      <c r="E22" s="19">
        <f>IF($A22="","",IFERROR(INDEX(FTIR!$H$11:$H$35,MATCH($A22,FTIR!$A$11:$A$35,0)),""))</f>
        <v/>
      </c>
      <c r="F22" s="19">
        <f>IF($A22="","",IFERROR(INDEX(DMA!$K$18:$K$37,MATCH($A22,DMA!$A$18:$A$37,0)),""))</f>
        <v/>
      </c>
      <c r="G22" s="19">
        <f>IF($A22="","",IFERROR(INDEX(DMA!$L$18:$L$37,MATCH($A22,DMA!$A$18:$A$37,0)),""))</f>
        <v/>
      </c>
      <c r="H22" s="19">
        <f>IF($A22="","",IFERROR(INDEX(TMA!$S$20:$S$39,MATCH($A22,TMA!$A$20:$A$39,0)),""))</f>
        <v/>
      </c>
      <c r="I22" s="19">
        <f>IF($A22="","",IFERROR(INDEX(TMA!$T$43:$T$62,MATCH($A22,TMA!$A$43:$A$62,0)),""))</f>
        <v/>
      </c>
      <c r="J22" s="20">
        <f>IF(COUNT(C22:I22)=0,"",AVERAGE(C22:I22))</f>
        <v/>
      </c>
      <c r="K22" s="20">
        <f>IF(COUNT(C22:I22)&lt;2,"",STDEV(C22:I22))</f>
        <v/>
      </c>
      <c r="L22" s="20">
        <f>IF(COUNT(C22:I22)&lt;2,"",MAX(C22:I22)-MIN(C22:I22))</f>
        <v/>
      </c>
      <c r="M22" s="21">
        <f>IF(COUNT(C22:I22)&lt;2,"",IF(L22&gt;$D$3,"Methods disagree","Consistent"))</f>
        <v/>
      </c>
    </row>
    <row r="23">
      <c r="A23" s="17" t="n"/>
      <c r="B23" s="18">
        <f>IF(A23="","",IFERROR(INDEX(DSC!$C$23:$C$42,MATCH(A23,DSC!$A$23:$A$42,0)),IFERROR(INDEX(FTIR!$C$11:$C$35,MATCH(A23,FTIR!$A$11:$A$35,0)),IFERROR(INDEX(DMA!$C$18:$C$37,MATCH(A23,DMA!$A$18:$A$37,0)),IFERROR(INDEX(TMA!$C$20:$C$39,MATCH(A23,TMA!$A$20:$A$39,0)),IFERROR(INDEX(TMA!$C$43:$C$62,MATCH(A23,TMA!$A$43:$A$62,0)),""))))))</f>
        <v/>
      </c>
      <c r="C23" s="19">
        <f>IF($A23="","",IFERROR(INDEX(DSC!$H$23:$H$42,MATCH($A23,DSC!$A$23:$A$42,0)),""))</f>
        <v/>
      </c>
      <c r="D23" s="19">
        <f>IF($A23="","",IFERROR(INDEX(DSC!$K$23:$K$42,MATCH($A23,DSC!$A$23:$A$42,0)),""))</f>
        <v/>
      </c>
      <c r="E23" s="19">
        <f>IF($A23="","",IFERROR(INDEX(FTIR!$H$11:$H$35,MATCH($A23,FTIR!$A$11:$A$35,0)),""))</f>
        <v/>
      </c>
      <c r="F23" s="19">
        <f>IF($A23="","",IFERROR(INDEX(DMA!$K$18:$K$37,MATCH($A23,DMA!$A$18:$A$37,0)),""))</f>
        <v/>
      </c>
      <c r="G23" s="19">
        <f>IF($A23="","",IFERROR(INDEX(DMA!$L$18:$L$37,MATCH($A23,DMA!$A$18:$A$37,0)),""))</f>
        <v/>
      </c>
      <c r="H23" s="19">
        <f>IF($A23="","",IFERROR(INDEX(TMA!$S$20:$S$39,MATCH($A23,TMA!$A$20:$A$39,0)),""))</f>
        <v/>
      </c>
      <c r="I23" s="19">
        <f>IF($A23="","",IFERROR(INDEX(TMA!$T$43:$T$62,MATCH($A23,TMA!$A$43:$A$62,0)),""))</f>
        <v/>
      </c>
      <c r="J23" s="20">
        <f>IF(COUNT(C23:I23)=0,"",AVERAGE(C23:I23))</f>
        <v/>
      </c>
      <c r="K23" s="20">
        <f>IF(COUNT(C23:I23)&lt;2,"",STDEV(C23:I23))</f>
        <v/>
      </c>
      <c r="L23" s="20">
        <f>IF(COUNT(C23:I23)&lt;2,"",MAX(C23:I23)-MIN(C23:I23))</f>
        <v/>
      </c>
      <c r="M23" s="21">
        <f>IF(COUNT(C23:I23)&lt;2,"",IF(L23&gt;$D$3,"Methods disagree","Consistent"))</f>
        <v/>
      </c>
    </row>
    <row r="24">
      <c r="A24" s="17" t="n"/>
      <c r="B24" s="18">
        <f>IF(A24="","",IFERROR(INDEX(DSC!$C$23:$C$42,MATCH(A24,DSC!$A$23:$A$42,0)),IFERROR(INDEX(FTIR!$C$11:$C$35,MATCH(A24,FTIR!$A$11:$A$35,0)),IFERROR(INDEX(DMA!$C$18:$C$37,MATCH(A24,DMA!$A$18:$A$37,0)),IFERROR(INDEX(TMA!$C$20:$C$39,MATCH(A24,TMA!$A$20:$A$39,0)),IFERROR(INDEX(TMA!$C$43:$C$62,MATCH(A24,TMA!$A$43:$A$62,0)),""))))))</f>
        <v/>
      </c>
      <c r="C24" s="19">
        <f>IF($A24="","",IFERROR(INDEX(DSC!$H$23:$H$42,MATCH($A24,DSC!$A$23:$A$42,0)),""))</f>
        <v/>
      </c>
      <c r="D24" s="19">
        <f>IF($A24="","",IFERROR(INDEX(DSC!$K$23:$K$42,MATCH($A24,DSC!$A$23:$A$42,0)),""))</f>
        <v/>
      </c>
      <c r="E24" s="19">
        <f>IF($A24="","",IFERROR(INDEX(FTIR!$H$11:$H$35,MATCH($A24,FTIR!$A$11:$A$35,0)),""))</f>
        <v/>
      </c>
      <c r="F24" s="19">
        <f>IF($A24="","",IFERROR(INDEX(DMA!$K$18:$K$37,MATCH($A24,DMA!$A$18:$A$37,0)),""))</f>
        <v/>
      </c>
      <c r="G24" s="19">
        <f>IF($A24="","",IFERROR(INDEX(DMA!$L$18:$L$37,MATCH($A24,DMA!$A$18:$A$37,0)),""))</f>
        <v/>
      </c>
      <c r="H24" s="19">
        <f>IF($A24="","",IFERROR(INDEX(TMA!$S$20:$S$39,MATCH($A24,TMA!$A$20:$A$39,0)),""))</f>
        <v/>
      </c>
      <c r="I24" s="19">
        <f>IF($A24="","",IFERROR(INDEX(TMA!$T$43:$T$62,MATCH($A24,TMA!$A$43:$A$62,0)),""))</f>
        <v/>
      </c>
      <c r="J24" s="20">
        <f>IF(COUNT(C24:I24)=0,"",AVERAGE(C24:I24))</f>
        <v/>
      </c>
      <c r="K24" s="20">
        <f>IF(COUNT(C24:I24)&lt;2,"",STDEV(C24:I24))</f>
        <v/>
      </c>
      <c r="L24" s="20">
        <f>IF(COUNT(C24:I24)&lt;2,"",MAX(C24:I24)-MIN(C24:I24))</f>
        <v/>
      </c>
      <c r="M24" s="21">
        <f>IF(COUNT(C24:I24)&lt;2,"",IF(L24&gt;$D$3,"Methods disagree","Consistent"))</f>
        <v/>
      </c>
    </row>
    <row r="25">
      <c r="A25" s="17" t="n"/>
      <c r="B25" s="18">
        <f>IF(A25="","",IFERROR(INDEX(DSC!$C$23:$C$42,MATCH(A25,DSC!$A$23:$A$42,0)),IFERROR(INDEX(FTIR!$C$11:$C$35,MATCH(A25,FTIR!$A$11:$A$35,0)),IFERROR(INDEX(DMA!$C$18:$C$37,MATCH(A25,DMA!$A$18:$A$37,0)),IFERROR(INDEX(TMA!$C$20:$C$39,MATCH(A25,TMA!$A$20:$A$39,0)),IFERROR(INDEX(TMA!$C$43:$C$62,MATCH(A25,TMA!$A$43:$A$62,0)),""))))))</f>
        <v/>
      </c>
      <c r="C25" s="19">
        <f>IF($A25="","",IFERROR(INDEX(DSC!$H$23:$H$42,MATCH($A25,DSC!$A$23:$A$42,0)),""))</f>
        <v/>
      </c>
      <c r="D25" s="19">
        <f>IF($A25="","",IFERROR(INDEX(DSC!$K$23:$K$42,MATCH($A25,DSC!$A$23:$A$42,0)),""))</f>
        <v/>
      </c>
      <c r="E25" s="19">
        <f>IF($A25="","",IFERROR(INDEX(FTIR!$H$11:$H$35,MATCH($A25,FTIR!$A$11:$A$35,0)),""))</f>
        <v/>
      </c>
      <c r="F25" s="19">
        <f>IF($A25="","",IFERROR(INDEX(DMA!$K$18:$K$37,MATCH($A25,DMA!$A$18:$A$37,0)),""))</f>
        <v/>
      </c>
      <c r="G25" s="19">
        <f>IF($A25="","",IFERROR(INDEX(DMA!$L$18:$L$37,MATCH($A25,DMA!$A$18:$A$37,0)),""))</f>
        <v/>
      </c>
      <c r="H25" s="19">
        <f>IF($A25="","",IFERROR(INDEX(TMA!$S$20:$S$39,MATCH($A25,TMA!$A$20:$A$39,0)),""))</f>
        <v/>
      </c>
      <c r="I25" s="19">
        <f>IF($A25="","",IFERROR(INDEX(TMA!$T$43:$T$62,MATCH($A25,TMA!$A$43:$A$62,0)),""))</f>
        <v/>
      </c>
      <c r="J25" s="20">
        <f>IF(COUNT(C25:I25)=0,"",AVERAGE(C25:I25))</f>
        <v/>
      </c>
      <c r="K25" s="20">
        <f>IF(COUNT(C25:I25)&lt;2,"",STDEV(C25:I25))</f>
        <v/>
      </c>
      <c r="L25" s="20">
        <f>IF(COUNT(C25:I25)&lt;2,"",MAX(C25:I25)-MIN(C25:I25))</f>
        <v/>
      </c>
      <c r="M25" s="21">
        <f>IF(COUNT(C25:I25)&lt;2,"",IF(L25&gt;$D$3,"Methods disagree","Consistent"))</f>
        <v/>
      </c>
    </row>
    <row r="27">
      <c r="A27" s="2" t="inlineStr">
        <is>
          <t>Blank = no data for that sample on that sheet (e.g. pre-gel samples have no DMA or TMA value). Text results such as "&gt; theoretical" are excluded from the statistics.</t>
        </is>
      </c>
    </row>
    <row r="28">
      <c r="A28" s="2" t="inlineStr">
        <is>
          <t>Typical pattern: FTIR ≥ DSC heat when side reactions consume NCO; the modulus routes (DMA, TMA) read high in phase-separated (segmented) PUs.</t>
        </is>
      </c>
    </row>
  </sheetData>
  <conditionalFormatting sqref="M6:M25">
    <cfRule type="expression" priority="1" dxfId="0">
      <formula>$M6="Methods disagree"</formula>
    </cfRule>
  </conditionalFormatting>
  <hyperlinks>
    <hyperlink ref="O6" location="'Guide'!A1" display="↩ Back to the Guide"/>
    <hyperlink ref="O18" location="'Sample_Prep'!A5" display="▸ Full preparation protocol for this sheet (Sample_Prep)"/>
  </hyperlink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70" customWidth="1" min="4" max="4"/>
  </cols>
  <sheetData>
    <row r="1">
      <c r="A1" s="1" t="inlineStr">
        <is>
          <t>Formulation &amp; Network Parameters</t>
        </is>
      </c>
      <c r="F1" s="16" t="inlineStr">
        <is>
          <t>HOW TO USE — Formulation</t>
        </is>
      </c>
    </row>
    <row r="2">
      <c r="A2" s="2" t="inlineStr">
        <is>
          <t>Inputs here feed DSC (reactive fraction), FTIR (%NCO, OH conversion) and DMA (Miller–Macosko network model).     ▸ How to use this sheet: column F</t>
        </is>
      </c>
      <c r="F2" s="4" t="inlineStr">
        <is>
          <t>↩ Back to the Guide</t>
        </is>
      </c>
    </row>
    <row r="3" ht="20" customHeight="1">
      <c r="A3" s="11" t="inlineStr">
        <is>
          <t>Parameter</t>
        </is>
      </c>
      <c r="B3" s="11" t="inlineStr">
        <is>
          <t>Value</t>
        </is>
      </c>
      <c r="C3" s="11" t="inlineStr">
        <is>
          <t>Units</t>
        </is>
      </c>
      <c r="D3" s="11" t="inlineStr">
        <is>
          <t>Note</t>
        </is>
      </c>
      <c r="F3" s="22" t="inlineStr">
        <is>
          <t>Steps</t>
        </is>
      </c>
    </row>
    <row r="4">
      <c r="A4" s="23" t="inlineStr">
        <is>
          <t>Polyol mass</t>
        </is>
      </c>
      <c r="B4" s="24" t="n">
        <v>10</v>
      </c>
      <c r="C4" s="23" t="inlineStr">
        <is>
          <t>g</t>
        </is>
      </c>
      <c r="D4" s="25" t="inlineStr">
        <is>
          <t>Example: PPG triol, MW ≈ 3000</t>
        </is>
      </c>
      <c r="F4" s="5" t="inlineStr">
        <is>
          <t>1  Polyol (B4–B6): mass, equivalent weight per OH, functionality.</t>
        </is>
      </c>
    </row>
    <row r="5">
      <c r="A5" s="23" t="inlineStr">
        <is>
          <t>Polyol equivalent weight (per OH)</t>
        </is>
      </c>
      <c r="B5" s="26" t="n">
        <v>1000</v>
      </c>
      <c r="C5" s="23" t="inlineStr">
        <is>
          <t>g/eq</t>
        </is>
      </c>
      <c r="D5" s="25" t="inlineStr">
        <is>
          <t>EW = 56100 / OH number (mg KOH/g)</t>
        </is>
      </c>
      <c r="F5" s="2" t="inlineStr">
        <is>
          <t xml:space="preserve">     EW = 56100 / OH number (mg KOH/g). Take it from the CoA of the lot you actually used.</t>
        </is>
      </c>
    </row>
    <row r="6">
      <c r="A6" s="23" t="inlineStr">
        <is>
          <t>Polyol functionality</t>
        </is>
      </c>
      <c r="B6" s="27" t="n">
        <v>3</v>
      </c>
      <c r="C6" s="23" t="inlineStr">
        <is>
          <t>–</t>
        </is>
      </c>
      <c r="D6" s="25" t="inlineStr">
        <is>
          <t>Integer; 2 for a diol</t>
        </is>
      </c>
      <c r="F6" s="5" t="inlineStr">
        <is>
          <t>2  Isocyanate (B7–B9): mass, equivalent weight per NCO, functionality.</t>
        </is>
      </c>
    </row>
    <row r="7">
      <c r="A7" s="23" t="inlineStr">
        <is>
          <t>Isocyanate mass</t>
        </is>
      </c>
      <c r="B7" s="28" t="n">
        <v>1.111</v>
      </c>
      <c r="C7" s="23" t="inlineStr">
        <is>
          <t>g</t>
        </is>
      </c>
      <c r="D7" s="25" t="inlineStr">
        <is>
          <t>Example: IPDI</t>
        </is>
      </c>
      <c r="F7" s="2" t="inlineStr">
        <is>
          <t xml:space="preserve">     EW = 4202 / %NCO.   IPDI 111.1 · HDI 84.1 · MDI 125.1 · TDI 87.1 g/eq.</t>
        </is>
      </c>
    </row>
    <row r="8">
      <c r="A8" s="23" t="inlineStr">
        <is>
          <t>Isocyanate equivalent weight (per NCO)</t>
        </is>
      </c>
      <c r="B8" s="26" t="n">
        <v>111.1</v>
      </c>
      <c r="C8" s="23" t="inlineStr">
        <is>
          <t>g/eq</t>
        </is>
      </c>
      <c r="D8" s="25" t="inlineStr">
        <is>
          <t>EW = 4202 / %NCO.  IPDI 111.1, HDI 84.1, MDI 125.1, TDI 87.1</t>
        </is>
      </c>
      <c r="F8" s="5" t="inlineStr">
        <is>
          <t>3  Non-reactive mass (plasticiser, filler, additives) and cured density (B10–B11).</t>
        </is>
      </c>
    </row>
    <row r="9">
      <c r="A9" s="23" t="inlineStr">
        <is>
          <t>Isocyanate functionality</t>
        </is>
      </c>
      <c r="B9" s="27" t="n">
        <v>2</v>
      </c>
      <c r="C9" s="23" t="inlineStr">
        <is>
          <t>–</t>
        </is>
      </c>
      <c r="D9" s="25" t="inlineStr">
        <is>
          <t>Integer; 2 for a diisocyanate</t>
        </is>
      </c>
      <c r="F9" s="5" t="inlineStr">
        <is>
          <t>4  Urethane ΔH (B12): keep 90 kJ/mol, or paste DSC!E13 once you have a fresh-mix reference scan.</t>
        </is>
      </c>
    </row>
    <row r="10">
      <c r="A10" s="23" t="inlineStr">
        <is>
          <t>Non-reactive mass (plasticiser, filler, additives)</t>
        </is>
      </c>
      <c r="B10" s="24" t="n">
        <v>0</v>
      </c>
      <c r="C10" s="23" t="inlineStr">
        <is>
          <t>g</t>
        </is>
      </c>
      <c r="D10" s="25" t="inlineStr">
        <is>
          <t>Dilutes ΔH per gram of sample; corrected for on the DSC sheet</t>
        </is>
      </c>
      <c r="F10" s="5" t="inlineStr">
        <is>
          <t>5  Check the results: index (B18), initial %NCO (B21), gel point (B27), theoretical ΔH (B31).</t>
        </is>
      </c>
    </row>
    <row r="11">
      <c r="A11" s="23" t="inlineStr">
        <is>
          <t>Cured density</t>
        </is>
      </c>
      <c r="B11" s="28" t="n">
        <v>1.02</v>
      </c>
      <c r="C11" s="23" t="inlineStr">
        <is>
          <t>g/cm³</t>
        </is>
      </c>
      <c r="D11" s="25" t="inlineStr">
        <is>
          <t>Of the whole formulation</t>
        </is>
      </c>
      <c r="F11" s="5" t="inlineStr">
        <is>
          <t>6  B32 must read OK for the DMA and TMA modulus routes; otherwise rely on DSC, FTIR or the Tg routes.</t>
        </is>
      </c>
    </row>
    <row r="12">
      <c r="A12" s="23" t="inlineStr">
        <is>
          <t>Urethane reaction enthalpy (magnitude)</t>
        </is>
      </c>
      <c r="B12" s="26" t="n">
        <v>90</v>
      </c>
      <c r="C12" s="23" t="inlineStr">
        <is>
          <t>kJ/mol NCO</t>
        </is>
      </c>
      <c r="D12" s="25" t="inlineStr">
        <is>
          <t>Sanity check only — see Guide. Replace with a value for your chemistry</t>
        </is>
      </c>
      <c r="F12" s="2" t="inlineStr">
        <is>
          <t>Every other sheet reads this one — keep one copy of the workbook per formulation.</t>
        </is>
      </c>
    </row>
    <row r="13">
      <c r="F13" s="22" t="inlineStr">
        <is>
          <t>Specimens</t>
        </is>
      </c>
    </row>
    <row r="14">
      <c r="A14" s="3" t="inlineStr">
        <is>
          <t>Calculated</t>
        </is>
      </c>
      <c r="F14" s="5" t="inlineStr">
        <is>
          <t>Titrate the OH number and %NCO of the actual lots, dry the polyol, and weigh on an analytical balance.</t>
        </is>
      </c>
    </row>
    <row r="15">
      <c r="A15" s="23" t="inlineStr">
        <is>
          <t>OH equivalents</t>
        </is>
      </c>
      <c r="B15" s="29">
        <f>B4/B5</f>
        <v/>
      </c>
      <c r="C15" s="23" t="inlineStr">
        <is>
          <t>eq</t>
        </is>
      </c>
      <c r="D15" s="25" t="inlineStr"/>
      <c r="F15" s="4" t="inlineStr">
        <is>
          <t>▸ Full preparation protocol for this sheet (Sample_Prep)</t>
        </is>
      </c>
    </row>
    <row r="16">
      <c r="A16" s="23" t="inlineStr">
        <is>
          <t>NCO equivalents</t>
        </is>
      </c>
      <c r="B16" s="29">
        <f>B7/B8</f>
        <v/>
      </c>
      <c r="C16" s="23" t="inlineStr">
        <is>
          <t>eq</t>
        </is>
      </c>
      <c r="D16" s="25" t="inlineStr"/>
    </row>
    <row r="17">
      <c r="A17" s="23" t="inlineStr">
        <is>
          <t>NCO:OH ratio, r</t>
        </is>
      </c>
      <c r="B17" s="30">
        <f>B16/B15</f>
        <v/>
      </c>
      <c r="C17" s="23" t="inlineStr">
        <is>
          <t>–</t>
        </is>
      </c>
      <c r="D17" s="25" t="inlineStr"/>
      <c r="F17" s="22" t="inlineStr">
        <is>
          <t>Figure — where a network can form. Find your r on the x-axis; DMA and TMA need conversions above the gel curve.</t>
        </is>
      </c>
    </row>
    <row r="18">
      <c r="A18" s="23" t="inlineStr">
        <is>
          <t>Isocyanate index</t>
        </is>
      </c>
      <c r="B18" s="31">
        <f>100*B17</f>
        <v/>
      </c>
      <c r="C18" s="23" t="inlineStr">
        <is>
          <t>–</t>
        </is>
      </c>
      <c r="D18" s="25" t="inlineStr"/>
    </row>
    <row r="19">
      <c r="A19" s="23" t="inlineStr">
        <is>
          <t>Total mass</t>
        </is>
      </c>
      <c r="B19" s="30">
        <f>B4+B7+B10</f>
        <v/>
      </c>
      <c r="C19" s="23" t="inlineStr">
        <is>
          <t>g</t>
        </is>
      </c>
      <c r="D19" s="25" t="inlineStr"/>
    </row>
    <row r="20">
      <c r="A20" s="23" t="inlineStr">
        <is>
          <t>Reactive mass fraction, w_r</t>
        </is>
      </c>
      <c r="B20" s="32">
        <f>(B4+B7)/B19</f>
        <v/>
      </c>
      <c r="C20" s="23" t="inlineStr">
        <is>
          <t>–</t>
        </is>
      </c>
      <c r="D20" s="25" t="inlineStr">
        <is>
          <t>Used on the DSC sheet</t>
        </is>
      </c>
    </row>
    <row r="21">
      <c r="A21" s="23" t="inlineStr">
        <is>
          <t>Initial NCO content</t>
        </is>
      </c>
      <c r="B21" s="33">
        <f>B16*42.02/B19</f>
        <v/>
      </c>
      <c r="C21" s="23" t="inlineStr">
        <is>
          <t>wt fraction</t>
        </is>
      </c>
      <c r="D21" s="25" t="inlineStr">
        <is>
          <t>NCO = 42.02 g/mol</t>
        </is>
      </c>
    </row>
    <row r="22">
      <c r="A22" s="23" t="inlineStr">
        <is>
          <t>Specimen volume</t>
        </is>
      </c>
      <c r="B22" s="34">
        <f>B19/B11*1E-6</f>
        <v/>
      </c>
      <c r="C22" s="23" t="inlineStr">
        <is>
          <t>m³</t>
        </is>
      </c>
      <c r="D22" s="25" t="inlineStr"/>
    </row>
    <row r="23">
      <c r="A23" s="23" t="inlineStr">
        <is>
          <t>Crosslinker functionality, f</t>
        </is>
      </c>
      <c r="B23" s="35">
        <f>MAX(B6,B9)</f>
        <v/>
      </c>
      <c r="C23" s="23" t="inlineStr">
        <is>
          <t>–</t>
        </is>
      </c>
      <c r="D23" s="25" t="inlineStr"/>
    </row>
    <row r="24">
      <c r="A24" s="23" t="inlineStr">
        <is>
          <t>Crosslinker component</t>
        </is>
      </c>
      <c r="B24" s="21">
        <f>IF(B23&lt;=2,"none (linear)",IF(B6&gt;=B9,"Polyol","Isocyanate"))</f>
        <v/>
      </c>
      <c r="C24" s="36" t="n"/>
      <c r="D24" s="25" t="inlineStr"/>
    </row>
    <row r="25">
      <c r="A25" s="23" t="inlineStr">
        <is>
          <t>Crosslinker concentration, [Bf]0</t>
        </is>
      </c>
      <c r="B25" s="31">
        <f>IF(B23&lt;=2,0,IF(B6&gt;=B9,B15/B6,B16/B9)/B22)</f>
        <v/>
      </c>
      <c r="C25" s="23" t="inlineStr">
        <is>
          <t>mol/m³</t>
        </is>
      </c>
      <c r="D25" s="25" t="inlineStr"/>
    </row>
    <row r="26">
      <c r="A26" s="23" t="inlineStr">
        <is>
          <t>Maximum attainable NCO conversion</t>
        </is>
      </c>
      <c r="B26" s="20">
        <f>MIN(1,1/B17)</f>
        <v/>
      </c>
      <c r="C26" s="23" t="inlineStr">
        <is>
          <t>–</t>
        </is>
      </c>
      <c r="D26" s="25" t="inlineStr">
        <is>
          <t>NCO in excess (r &gt; 1) cannot fully react</t>
        </is>
      </c>
    </row>
    <row r="27">
      <c r="A27" s="23" t="inlineStr">
        <is>
          <t>Gel-point NCO conversion, α_gel</t>
        </is>
      </c>
      <c r="B27" s="20">
        <f>IF(B23&lt;=2,"no gel (linear)",IF(1/SQRT(B17*(B23-1))&gt;B26,"no gel",1/SQRT(B17*(B23-1))))</f>
        <v/>
      </c>
      <c r="C27" s="23" t="inlineStr">
        <is>
          <t>–</t>
        </is>
      </c>
      <c r="D27" s="25" t="inlineStr">
        <is>
          <t>Flory–Stockmayer [r(f−1)]^−½</t>
        </is>
      </c>
    </row>
    <row r="28">
      <c r="A28" s="23" t="inlineStr">
        <is>
          <t>k at maximum conversion (= r·α_max²)</t>
        </is>
      </c>
      <c r="B28" s="32">
        <f>B17*B26^2</f>
        <v/>
      </c>
      <c r="C28" s="23" t="inlineStr">
        <is>
          <t>–</t>
        </is>
      </c>
      <c r="D28" s="25" t="inlineStr"/>
    </row>
    <row r="29">
      <c r="A29" s="23" t="inlineStr">
        <is>
          <t>P(F_out) b at maximum conversion</t>
        </is>
      </c>
      <c r="B29" s="32">
        <f>IF(B23=3,IF(B28&lt;=0.5,1,(1-B28)/B28),IF(B23=4,IF(B28&lt;=1/3,1,(-B28+SQRT(4*B28-3*B28^2))/(2*B28)),1))</f>
        <v/>
      </c>
      <c r="C29" s="23" t="inlineStr">
        <is>
          <t>–</t>
        </is>
      </c>
      <c r="D29" s="25" t="inlineStr"/>
    </row>
    <row r="30">
      <c r="A30" s="23" t="inlineStr">
        <is>
          <t>Theoretical ν_e at maximum conversion</t>
        </is>
      </c>
      <c r="B30" s="31">
        <f>B25*IF(B23=3,1.5*(1-B29)^3,IF(B23=4,2*(1-B29)^4+6*B29*(1-B29)^3,0))</f>
        <v/>
      </c>
      <c r="C30" s="23" t="inlineStr">
        <is>
          <t>mol/m³</t>
        </is>
      </c>
      <c r="D30" s="25" t="inlineStr">
        <is>
          <t>Miller–Macosko, elastically active strands</t>
        </is>
      </c>
    </row>
    <row r="31">
      <c r="A31" s="23" t="inlineStr">
        <is>
          <t>Theoretical ΔH_total</t>
        </is>
      </c>
      <c r="B31" s="31">
        <f>B16*B12*1000/B19</f>
        <v/>
      </c>
      <c r="C31" s="23" t="inlineStr">
        <is>
          <t>J/g sample</t>
        </is>
      </c>
      <c r="D31" s="25" t="inlineStr">
        <is>
          <t>Compare with measured on DSC sheet</t>
        </is>
      </c>
    </row>
    <row r="32">
      <c r="A32" s="23" t="inlineStr">
        <is>
          <t>Network-model check</t>
        </is>
      </c>
      <c r="B32" s="21">
        <f>IF(AND(MIN(B6,B9)=2,OR(B23=3,B23=4)),"OK — A2 + B"&amp;B23&amp;" Miller–Macosko model applies","WARNING — DMA/TMA modulus→α needs one difunctional component and a crosslinker with f = 3 or 4")</f>
        <v/>
      </c>
      <c r="C32" s="37" t="n"/>
      <c r="D32" s="36" t="n"/>
    </row>
  </sheetData>
  <mergeCells count="2">
    <mergeCell ref="B24:C24"/>
    <mergeCell ref="B32:D32"/>
  </mergeCells>
  <conditionalFormatting sqref="B32">
    <cfRule type="expression" priority="1" dxfId="0">
      <formula>LEFT($B$32,7)="WARNING"</formula>
    </cfRule>
  </conditionalFormatting>
  <dataValidations count="1">
    <dataValidation sqref="B6 B9" showDropDown="0" showInputMessage="0" showErrorMessage="1" allowBlank="0" error="Enter an integer functionality ≥ 2" type="whole" operator="between">
      <formula1>2</formula1>
      <formula2>6</formula2>
    </dataValidation>
  </dataValidations>
  <hyperlinks>
    <hyperlink ref="F2" location="'Guide'!A1" display="↩ Back to the Guide"/>
    <hyperlink ref="F15" location="'Sample_Prep'!A42" display="▸ Full preparation protocol for this sheet (Sample_Prep)"/>
  </hyperlink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5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0" customWidth="1" min="13" max="13"/>
  </cols>
  <sheetData>
    <row r="1">
      <c r="A1" s="1" t="inlineStr">
        <is>
          <t>DSC — residual exotherm and Tg</t>
        </is>
      </c>
      <c r="O1" s="16" t="inlineStr">
        <is>
          <t>HOW TO USE — DSC (residual heat)</t>
        </is>
      </c>
    </row>
    <row r="2">
      <c r="A2" s="2" t="inlineStr">
        <is>
          <t>α = 1 − ΔH_res/ΔH_total on a reactive-resin basis; optional Tg route via DiBenedetto.     ▸ How to use this sheet: column O</t>
        </is>
      </c>
      <c r="O2" s="4" t="inlineStr">
        <is>
          <t>↩ Back to the Guide</t>
        </is>
      </c>
    </row>
    <row r="3">
      <c r="A3" s="3" t="inlineStr">
        <is>
          <t>Reference: uncured, freshly mixed, full dynamic scan</t>
        </is>
      </c>
      <c r="O3" s="5" t="inlineStr"/>
    </row>
    <row r="4" ht="42" customHeight="1">
      <c r="A4" s="11" t="inlineStr">
        <is>
          <t>Replicate</t>
        </is>
      </c>
      <c r="B4" s="11" t="inlineStr">
        <is>
          <t>Sample mass (mg)</t>
        </is>
      </c>
      <c r="C4" s="11" t="inlineStr">
        <is>
          <t>ΔH_total (J/g sample)</t>
        </is>
      </c>
      <c r="D4" s="11" t="inlineStr">
        <is>
          <t>w_r</t>
        </is>
      </c>
      <c r="E4" s="11" t="inlineStr">
        <is>
          <t>ΔH_total (J/g reactive)</t>
        </is>
      </c>
      <c r="O4" s="22" t="inlineStr">
        <is>
          <t>Reference scan — rows 5–7 (skip if you will use the theoretical basis)</t>
        </is>
      </c>
    </row>
    <row r="5">
      <c r="A5" s="17" t="inlineStr">
        <is>
          <t>Ref-1</t>
        </is>
      </c>
      <c r="B5" s="24" t="n">
        <v>8.119999999999999</v>
      </c>
      <c r="C5" s="26" t="n">
        <v>79.40000000000001</v>
      </c>
      <c r="D5" s="38">
        <f>Formulation!$B$20</f>
        <v/>
      </c>
      <c r="E5" s="31">
        <f>IF(C5="","",C5/D5)</f>
        <v/>
      </c>
      <c r="O5" s="5" t="inlineStr">
        <is>
          <t>1  Mix fresh, load at once, cool below Tg0, then heat at 10 K/min through the whole exotherm.</t>
        </is>
      </c>
    </row>
    <row r="6">
      <c r="A6" s="17" t="inlineStr">
        <is>
          <t>Ref-2</t>
        </is>
      </c>
      <c r="B6" s="24" t="n">
        <v>7.95</v>
      </c>
      <c r="C6" s="26" t="n">
        <v>80.59999999999999</v>
      </c>
      <c r="D6" s="38">
        <f>Formulation!$B$20</f>
        <v/>
      </c>
      <c r="E6" s="31">
        <f>IF(C6="","",C6/D6)</f>
        <v/>
      </c>
      <c r="O6" s="5" t="inlineStr">
        <is>
          <t>2  Integrate the exotherm against a linear baseline; enter ΔH in J/g of sample (C5–C7).</t>
        </is>
      </c>
    </row>
    <row r="7">
      <c r="A7" s="17" t="n"/>
      <c r="B7" s="24" t="n"/>
      <c r="C7" s="26" t="n"/>
      <c r="D7" s="38">
        <f>Formulation!$B$20</f>
        <v/>
      </c>
      <c r="E7" s="31">
        <f>IF(C7="","",C7/D7)</f>
        <v/>
      </c>
      <c r="O7" s="5" t="inlineStr">
        <is>
          <t>3  E12 should be close to 100 %. Much lower: heat lost before the scan, or Formulation!B12 too high.</t>
        </is>
      </c>
    </row>
    <row r="8">
      <c r="A8" s="39" t="inlineStr">
        <is>
          <t>Mean ΔH_total (J/g reactive)</t>
        </is>
      </c>
      <c r="E8" s="31">
        <f>IF(COUNT(E5:E7)=0,"",AVERAGE(E5:E7))</f>
        <v/>
      </c>
      <c r="O8" s="22" t="inlineStr">
        <is>
          <t>Choose the ΔH_total basis — E14</t>
        </is>
      </c>
    </row>
    <row r="9">
      <c r="A9" s="39" t="inlineStr">
        <is>
          <t>Std. dev.</t>
        </is>
      </c>
      <c r="E9" s="31">
        <f>IF(COUNT(E5:E7)&gt;1,STDEV(E5:E7),"")</f>
        <v/>
      </c>
      <c r="O9" s="5" t="inlineStr">
        <is>
          <t>4  Measured reference = rows 5–7.   Theoretical (formulation) = no reference scan needed.</t>
        </is>
      </c>
    </row>
    <row r="10">
      <c r="A10" s="39" t="inlineStr">
        <is>
          <t>RSD</t>
        </is>
      </c>
      <c r="E10" s="20">
        <f>IF(COUNT(E5:E7)&gt;1,E9/E8,"")</f>
        <v/>
      </c>
      <c r="O10" s="22" t="inlineStr">
        <is>
          <t>Partially cured samples — rows 23–42</t>
        </is>
      </c>
    </row>
    <row r="11">
      <c r="A11" s="39" t="inlineStr">
        <is>
          <t>Theoretical ΔH (J/g reactive)</t>
        </is>
      </c>
      <c r="E11" s="18">
        <f>Formulation!B31/Formulation!B20</f>
        <v/>
      </c>
      <c r="O11" s="5" t="inlineStr">
        <is>
          <t>5  Scan each sample at the same rate, integrate the same way, and enter ΔH_res in column E.</t>
        </is>
      </c>
    </row>
    <row r="12">
      <c r="A12" s="39" t="inlineStr">
        <is>
          <t>Measured / theoretical</t>
        </is>
      </c>
      <c r="E12" s="20">
        <f>IF(E8="","",E8/E11)</f>
        <v/>
      </c>
      <c r="F12" s="2" t="inlineStr">
        <is>
          <t>Low ratio → reaction before/while loading, or ΔH_urethane input too high</t>
        </is>
      </c>
      <c r="O12" s="5" t="inlineStr">
        <is>
          <t>6  Conversion appears in column H.</t>
        </is>
      </c>
    </row>
    <row r="13">
      <c r="A13" s="39" t="inlineStr">
        <is>
          <t>Urethane ΔH implied by reference (kJ/mol NCO)</t>
        </is>
      </c>
      <c r="E13" s="18">
        <f>IF(E8="","",E8*Formulation!B20*Formulation!B19/Formulation!B16/1000)</f>
        <v/>
      </c>
      <c r="F13" s="2" t="inlineStr">
        <is>
          <t>Copy into Formulation!B12 to calibrate the theoretical basis (valid only if the reference scan reached full cure)</t>
        </is>
      </c>
      <c r="O13" s="22" t="inlineStr">
        <is>
          <t>Optional Tg route</t>
        </is>
      </c>
    </row>
    <row r="14">
      <c r="A14" s="39" t="inlineStr">
        <is>
          <t>ΔH_total basis used for α  ▼</t>
        </is>
      </c>
      <c r="E14" s="17" t="inlineStr">
        <is>
          <t>Measured reference</t>
        </is>
      </c>
      <c r="H14" s="2" t="inlineStr">
        <is>
          <t>Theoretical = no uncured reference scan needed; accuracy then rests on Formulation!B12</t>
        </is>
      </c>
      <c r="O14" s="5" t="inlineStr">
        <is>
          <t>7  Enter the Tg midpoint in column I, then Tg0 and Tg∞ (B18–B19). Pick where λ comes from in G17:</t>
        </is>
      </c>
    </row>
    <row r="15">
      <c r="A15" s="39" t="inlineStr">
        <is>
          <t>ΔH_total used (J/g reactive)</t>
        </is>
      </c>
      <c r="E15" s="31">
        <f>IF(E14="Theoretical (formulation)",E11,E8)</f>
        <v/>
      </c>
      <c r="O15" s="2" t="inlineStr">
        <is>
          <t xml:space="preserve">     Fitted (default) = least-squares fit to the residual-heat α of samples that have both (needs ≥ 2);</t>
        </is>
      </c>
    </row>
    <row r="16">
      <c r="O16" s="2" t="inlineStr">
        <is>
          <t xml:space="preserve">     ΔCp ratio = enter the Tg-step ΔCp of uncured and fully cured material in G18–H18;</t>
        </is>
      </c>
    </row>
    <row r="17">
      <c r="A17" s="3" t="inlineStr">
        <is>
          <t>DiBenedetto parameters (DSC midpoint Tg)</t>
        </is>
      </c>
      <c r="E17" s="39" t="inlineStr">
        <is>
          <t>λ source  ▼</t>
        </is>
      </c>
      <c r="G17" s="17" t="inlineStr">
        <is>
          <t>Fitted to residual-heat α</t>
        </is>
      </c>
      <c r="O17" s="2" t="inlineStr">
        <is>
          <t xml:space="preserve">     Tg0/Tg∞ estimate = first guess in kelvin;  Manual = type λ in J21.  B20 shows the λ in use.</t>
        </is>
      </c>
    </row>
    <row r="18">
      <c r="A18" s="23" t="inlineStr">
        <is>
          <t>Tg0 — uncured (°C)</t>
        </is>
      </c>
      <c r="B18" s="26" t="n">
        <v>-65</v>
      </c>
      <c r="C18" s="23" t="inlineStr">
        <is>
          <t>°C</t>
        </is>
      </c>
      <c r="E18" s="23" t="inlineStr">
        <is>
          <t>ΔCp0 | ΔCp∞ (J/g·K)</t>
        </is>
      </c>
      <c r="G18" s="28" t="n">
        <v>0.5</v>
      </c>
      <c r="H18" s="28" t="n">
        <v>0.23</v>
      </c>
      <c r="I18" s="40" t="inlineStr">
        <is>
          <t>→ λ</t>
        </is>
      </c>
      <c r="J18" s="30">
        <f>IF(OR(G18="",H18="",G18=0),"",H18/G18)</f>
        <v/>
      </c>
      <c r="O18" s="5" t="inlineStr">
        <is>
          <t>8  Column K = α from Tg; column L = its gap to the heat result.</t>
        </is>
      </c>
    </row>
    <row r="19">
      <c r="A19" s="23" t="inlineStr">
        <is>
          <t>Tg∞ — fully cured (°C)</t>
        </is>
      </c>
      <c r="B19" s="26" t="n">
        <v>-40</v>
      </c>
      <c r="C19" s="23" t="inlineStr">
        <is>
          <t>°C</t>
        </is>
      </c>
      <c r="E19" s="23" t="inlineStr">
        <is>
          <t>Tg0 / Tg∞ in kelvin</t>
        </is>
      </c>
      <c r="J19" s="30">
        <f>(B18+273.15)/(B19+273.15)</f>
        <v/>
      </c>
      <c r="O19" s="22" t="inlineStr">
        <is>
          <t>Specimens</t>
        </is>
      </c>
    </row>
    <row r="20">
      <c r="A20" s="23" t="inlineStr">
        <is>
          <t>λ used (source picked in G17)</t>
        </is>
      </c>
      <c r="B20" s="30">
        <f>IF($G$17="ΔCp ratio",J18,IF($G$17="Tg0/Tg∞ estimate",J19,IF($G$17="Manual",J21,J20)))</f>
        <v/>
      </c>
      <c r="C20" s="23" t="inlineStr">
        <is>
          <t>–</t>
        </is>
      </c>
      <c r="E20" s="23" t="inlineStr">
        <is>
          <t>Fitted to residual-heat α</t>
        </is>
      </c>
      <c r="G20" s="25" t="inlineStr">
        <is>
          <t>points used</t>
        </is>
      </c>
      <c r="H20" s="41">
        <f>Lambda_Fit!$AC$5</f>
        <v/>
      </c>
      <c r="J20" s="42">
        <f>Lambda_Fit!$AC$6</f>
        <v/>
      </c>
      <c r="O20" s="5" t="inlineStr">
        <is>
          <t>5–10 mg in hermetic pans; best: seal pans of fresh mix at t = 0 and cure them in the oven with everything else.</t>
        </is>
      </c>
    </row>
    <row r="21">
      <c r="A21" s="2" t="inlineStr">
        <is>
          <t>Tg∞: post-cure a sample until Tg stops rising</t>
        </is>
      </c>
      <c r="E21" s="23" t="inlineStr">
        <is>
          <t>Manual λ</t>
        </is>
      </c>
      <c r="J21" s="28" t="n">
        <v>0.45</v>
      </c>
      <c r="O21" s="4" t="inlineStr">
        <is>
          <t>▸ Full preparation protocol for this sheet (Sample_Prep)</t>
        </is>
      </c>
    </row>
    <row r="22" ht="45" customHeight="1">
      <c r="A22" s="11" t="inlineStr">
        <is>
          <t>Sample ID</t>
        </is>
      </c>
      <c r="B22" s="11" t="inlineStr">
        <is>
          <t>Cure temp (°C)</t>
        </is>
      </c>
      <c r="C22" s="11" t="inlineStr">
        <is>
          <t>Cure time (h)</t>
        </is>
      </c>
      <c r="D22" s="11" t="inlineStr">
        <is>
          <t>Sample mass (mg)</t>
        </is>
      </c>
      <c r="E22" s="11" t="inlineStr">
        <is>
          <t>ΔH_residual (J/g sample)</t>
        </is>
      </c>
      <c r="F22" s="11" t="inlineStr">
        <is>
          <t>w_r</t>
        </is>
      </c>
      <c r="G22" s="11" t="inlineStr">
        <is>
          <t>ΔH_residual (J/g reactive)</t>
        </is>
      </c>
      <c r="H22" s="11" t="inlineStr">
        <is>
          <t>α — residual heat</t>
        </is>
      </c>
      <c r="I22" s="11" t="inlineStr">
        <is>
          <t>Tg midpoint (°C)</t>
        </is>
      </c>
      <c r="J22" s="11" t="inlineStr">
        <is>
          <t>x = (Tg−Tg0)/(Tg∞−Tg0)</t>
        </is>
      </c>
      <c r="K22" s="11" t="inlineStr">
        <is>
          <t>α — DiBenedetto</t>
        </is>
      </c>
      <c r="L22" s="11" t="inlineStr">
        <is>
          <t>α(Tg) − α(heat)</t>
        </is>
      </c>
      <c r="M22" s="11" t="inlineStr">
        <is>
          <t>Notes</t>
        </is>
      </c>
    </row>
    <row r="23">
      <c r="A23" s="17" t="inlineStr">
        <is>
          <t>S0</t>
        </is>
      </c>
      <c r="B23" s="27" t="n">
        <v>60</v>
      </c>
      <c r="C23" s="26" t="n">
        <v>0</v>
      </c>
      <c r="D23" s="24" t="n">
        <v>8.050000000000001</v>
      </c>
      <c r="E23" s="26" t="n">
        <v>80</v>
      </c>
      <c r="F23" s="38">
        <f>Formulation!$B$20</f>
        <v/>
      </c>
      <c r="G23" s="31">
        <f>IF(E23="","",E23/F23)</f>
        <v/>
      </c>
      <c r="H23" s="20">
        <f>IF(OR(G23="",$E$15=""),"",1-G23/$E$15)</f>
        <v/>
      </c>
      <c r="I23" s="26" t="n">
        <v>-65</v>
      </c>
      <c r="J23" s="30">
        <f>IF(I23="","",(I23-$B$18)/($B$19-$B$18))</f>
        <v/>
      </c>
      <c r="K23" s="20">
        <f>IF(OR(J23="",$B$20=""),"",J23/($B$20+J23*(1-$B$20)))</f>
        <v/>
      </c>
      <c r="L23" s="43">
        <f>IF(OR(H23="",K23=""),"",K23-H23)</f>
        <v/>
      </c>
      <c r="M23" s="17" t="n"/>
      <c r="O23" s="22" t="inlineStr">
        <is>
          <t>Figure — left: what to integrate on each scan.  Right: how λ shapes the Tg–conversion curve.</t>
        </is>
      </c>
    </row>
    <row r="24">
      <c r="A24" s="17" t="inlineStr">
        <is>
          <t>S1</t>
        </is>
      </c>
      <c r="B24" s="27" t="n">
        <v>60</v>
      </c>
      <c r="C24" s="26" t="n">
        <v>2</v>
      </c>
      <c r="D24" s="24" t="n">
        <v>7.88</v>
      </c>
      <c r="E24" s="26" t="n">
        <v>44</v>
      </c>
      <c r="F24" s="38">
        <f>Formulation!$B$20</f>
        <v/>
      </c>
      <c r="G24" s="31">
        <f>IF(E24="","",E24/F24)</f>
        <v/>
      </c>
      <c r="H24" s="20">
        <f>IF(OR(G24="",$E$15=""),"",1-G24/$E$15)</f>
        <v/>
      </c>
      <c r="I24" s="26" t="n">
        <v>-58.3</v>
      </c>
      <c r="J24" s="30">
        <f>IF(I24="","",(I24-$B$18)/($B$19-$B$18))</f>
        <v/>
      </c>
      <c r="K24" s="20">
        <f>IF(OR(J24="",$B$20=""),"",J24/($B$20+J24*(1-$B$20)))</f>
        <v/>
      </c>
      <c r="L24" s="43">
        <f>IF(OR(H24="",K24=""),"",K24-H24)</f>
        <v/>
      </c>
      <c r="M24" s="17" t="n"/>
    </row>
    <row r="25">
      <c r="A25" s="17" t="inlineStr">
        <is>
          <t>S2</t>
        </is>
      </c>
      <c r="B25" s="27" t="n">
        <v>60</v>
      </c>
      <c r="C25" s="26" t="n">
        <v>8</v>
      </c>
      <c r="D25" s="24" t="n">
        <v>8.210000000000001</v>
      </c>
      <c r="E25" s="26" t="n">
        <v>20</v>
      </c>
      <c r="F25" s="38">
        <f>Formulation!$B$20</f>
        <v/>
      </c>
      <c r="G25" s="31">
        <f>IF(E25="","",E25/F25)</f>
        <v/>
      </c>
      <c r="H25" s="20">
        <f>IF(OR(G25="",$E$15=""),"",1-G25/$E$15)</f>
        <v/>
      </c>
      <c r="I25" s="26" t="n">
        <v>-50.6</v>
      </c>
      <c r="J25" s="30">
        <f>IF(I25="","",(I25-$B$18)/($B$19-$B$18))</f>
        <v/>
      </c>
      <c r="K25" s="20">
        <f>IF(OR(J25="",$B$20=""),"",J25/($B$20+J25*(1-$B$20)))</f>
        <v/>
      </c>
      <c r="L25" s="43">
        <f>IF(OR(H25="",K25=""),"",K25-H25)</f>
        <v/>
      </c>
      <c r="M25" s="17" t="n"/>
    </row>
    <row r="26">
      <c r="A26" s="17" t="inlineStr">
        <is>
          <t>S3</t>
        </is>
      </c>
      <c r="B26" s="27" t="n">
        <v>60</v>
      </c>
      <c r="C26" s="26" t="n">
        <v>24</v>
      </c>
      <c r="D26" s="24" t="n">
        <v>7.92</v>
      </c>
      <c r="E26" s="26" t="n">
        <v>8</v>
      </c>
      <c r="F26" s="38">
        <f>Formulation!$B$20</f>
        <v/>
      </c>
      <c r="G26" s="31">
        <f>IF(E26="","",E26/F26)</f>
        <v/>
      </c>
      <c r="H26" s="20">
        <f>IF(OR(G26="",$E$15=""),"",1-G26/$E$15)</f>
        <v/>
      </c>
      <c r="I26" s="26" t="n">
        <v>-45</v>
      </c>
      <c r="J26" s="30">
        <f>IF(I26="","",(I26-$B$18)/($B$19-$B$18))</f>
        <v/>
      </c>
      <c r="K26" s="20">
        <f>IF(OR(J26="",$B$20=""),"",J26/($B$20+J26*(1-$B$20)))</f>
        <v/>
      </c>
      <c r="L26" s="43">
        <f>IF(OR(H26="",K26=""),"",K26-H26)</f>
        <v/>
      </c>
      <c r="M26" s="17" t="n"/>
    </row>
    <row r="27">
      <c r="A27" s="17" t="inlineStr">
        <is>
          <t>S4</t>
        </is>
      </c>
      <c r="B27" s="27" t="n">
        <v>60</v>
      </c>
      <c r="C27" s="26" t="n">
        <v>72</v>
      </c>
      <c r="D27" s="24" t="n">
        <v>8.1</v>
      </c>
      <c r="E27" s="26" t="n">
        <v>2.4</v>
      </c>
      <c r="F27" s="38">
        <f>Formulation!$B$20</f>
        <v/>
      </c>
      <c r="G27" s="31">
        <f>IF(E27="","",E27/F27)</f>
        <v/>
      </c>
      <c r="H27" s="20">
        <f>IF(OR(G27="",$E$15=""),"",1-G27/$E$15)</f>
        <v/>
      </c>
      <c r="I27" s="26" t="n">
        <v>-41.6</v>
      </c>
      <c r="J27" s="30">
        <f>IF(I27="","",(I27-$B$18)/($B$19-$B$18))</f>
        <v/>
      </c>
      <c r="K27" s="20">
        <f>IF(OR(J27="",$B$20=""),"",J27/($B$20+J27*(1-$B$20)))</f>
        <v/>
      </c>
      <c r="L27" s="43">
        <f>IF(OR(H27="",K27=""),"",K27-H27)</f>
        <v/>
      </c>
      <c r="M27" s="17" t="n"/>
    </row>
    <row r="28">
      <c r="A28" s="17" t="n"/>
      <c r="B28" s="27" t="n"/>
      <c r="C28" s="26" t="n"/>
      <c r="D28" s="24" t="n"/>
      <c r="E28" s="26" t="n"/>
      <c r="F28" s="38">
        <f>Formulation!$B$20</f>
        <v/>
      </c>
      <c r="G28" s="31">
        <f>IF(E28="","",E28/F28)</f>
        <v/>
      </c>
      <c r="H28" s="20">
        <f>IF(OR(G28="",$E$15=""),"",1-G28/$E$15)</f>
        <v/>
      </c>
      <c r="I28" s="26" t="n"/>
      <c r="J28" s="30">
        <f>IF(I28="","",(I28-$B$18)/($B$19-$B$18))</f>
        <v/>
      </c>
      <c r="K28" s="20">
        <f>IF(OR(J28="",$B$20=""),"",J28/($B$20+J28*(1-$B$20)))</f>
        <v/>
      </c>
      <c r="L28" s="43">
        <f>IF(OR(H28="",K28=""),"",K28-H28)</f>
        <v/>
      </c>
      <c r="M28" s="17" t="n"/>
    </row>
    <row r="29">
      <c r="A29" s="17" t="n"/>
      <c r="B29" s="27" t="n"/>
      <c r="C29" s="26" t="n"/>
      <c r="D29" s="24" t="n"/>
      <c r="E29" s="26" t="n"/>
      <c r="F29" s="38">
        <f>Formulation!$B$20</f>
        <v/>
      </c>
      <c r="G29" s="31">
        <f>IF(E29="","",E29/F29)</f>
        <v/>
      </c>
      <c r="H29" s="20">
        <f>IF(OR(G29="",$E$15=""),"",1-G29/$E$15)</f>
        <v/>
      </c>
      <c r="I29" s="26" t="n"/>
      <c r="J29" s="30">
        <f>IF(I29="","",(I29-$B$18)/($B$19-$B$18))</f>
        <v/>
      </c>
      <c r="K29" s="20">
        <f>IF(OR(J29="",$B$20=""),"",J29/($B$20+J29*(1-$B$20)))</f>
        <v/>
      </c>
      <c r="L29" s="43">
        <f>IF(OR(H29="",K29=""),"",K29-H29)</f>
        <v/>
      </c>
      <c r="M29" s="17" t="n"/>
    </row>
    <row r="30">
      <c r="A30" s="17" t="n"/>
      <c r="B30" s="27" t="n"/>
      <c r="C30" s="26" t="n"/>
      <c r="D30" s="24" t="n"/>
      <c r="E30" s="26" t="n"/>
      <c r="F30" s="38">
        <f>Formulation!$B$20</f>
        <v/>
      </c>
      <c r="G30" s="31">
        <f>IF(E30="","",E30/F30)</f>
        <v/>
      </c>
      <c r="H30" s="20">
        <f>IF(OR(G30="",$E$15=""),"",1-G30/$E$15)</f>
        <v/>
      </c>
      <c r="I30" s="26" t="n"/>
      <c r="J30" s="30">
        <f>IF(I30="","",(I30-$B$18)/($B$19-$B$18))</f>
        <v/>
      </c>
      <c r="K30" s="20">
        <f>IF(OR(J30="",$B$20=""),"",J30/($B$20+J30*(1-$B$20)))</f>
        <v/>
      </c>
      <c r="L30" s="43">
        <f>IF(OR(H30="",K30=""),"",K30-H30)</f>
        <v/>
      </c>
      <c r="M30" s="17" t="n"/>
    </row>
    <row r="31">
      <c r="A31" s="17" t="n"/>
      <c r="B31" s="27" t="n"/>
      <c r="C31" s="26" t="n"/>
      <c r="D31" s="24" t="n"/>
      <c r="E31" s="26" t="n"/>
      <c r="F31" s="38">
        <f>Formulation!$B$20</f>
        <v/>
      </c>
      <c r="G31" s="31">
        <f>IF(E31="","",E31/F31)</f>
        <v/>
      </c>
      <c r="H31" s="20">
        <f>IF(OR(G31="",$E$15=""),"",1-G31/$E$15)</f>
        <v/>
      </c>
      <c r="I31" s="26" t="n"/>
      <c r="J31" s="30">
        <f>IF(I31="","",(I31-$B$18)/($B$19-$B$18))</f>
        <v/>
      </c>
      <c r="K31" s="20">
        <f>IF(OR(J31="",$B$20=""),"",J31/($B$20+J31*(1-$B$20)))</f>
        <v/>
      </c>
      <c r="L31" s="43">
        <f>IF(OR(H31="",K31=""),"",K31-H31)</f>
        <v/>
      </c>
      <c r="M31" s="17" t="n"/>
    </row>
    <row r="32">
      <c r="A32" s="17" t="n"/>
      <c r="B32" s="27" t="n"/>
      <c r="C32" s="26" t="n"/>
      <c r="D32" s="24" t="n"/>
      <c r="E32" s="26" t="n"/>
      <c r="F32" s="38">
        <f>Formulation!$B$20</f>
        <v/>
      </c>
      <c r="G32" s="31">
        <f>IF(E32="","",E32/F32)</f>
        <v/>
      </c>
      <c r="H32" s="20">
        <f>IF(OR(G32="",$E$15=""),"",1-G32/$E$15)</f>
        <v/>
      </c>
      <c r="I32" s="26" t="n"/>
      <c r="J32" s="30">
        <f>IF(I32="","",(I32-$B$18)/($B$19-$B$18))</f>
        <v/>
      </c>
      <c r="K32" s="20">
        <f>IF(OR(J32="",$B$20=""),"",J32/($B$20+J32*(1-$B$20)))</f>
        <v/>
      </c>
      <c r="L32" s="43">
        <f>IF(OR(H32="",K32=""),"",K32-H32)</f>
        <v/>
      </c>
      <c r="M32" s="17" t="n"/>
    </row>
    <row r="33">
      <c r="A33" s="17" t="n"/>
      <c r="B33" s="27" t="n"/>
      <c r="C33" s="26" t="n"/>
      <c r="D33" s="24" t="n"/>
      <c r="E33" s="26" t="n"/>
      <c r="F33" s="38">
        <f>Formulation!$B$20</f>
        <v/>
      </c>
      <c r="G33" s="31">
        <f>IF(E33="","",E33/F33)</f>
        <v/>
      </c>
      <c r="H33" s="20">
        <f>IF(OR(G33="",$E$15=""),"",1-G33/$E$15)</f>
        <v/>
      </c>
      <c r="I33" s="26" t="n"/>
      <c r="J33" s="30">
        <f>IF(I33="","",(I33-$B$18)/($B$19-$B$18))</f>
        <v/>
      </c>
      <c r="K33" s="20">
        <f>IF(OR(J33="",$B$20=""),"",J33/($B$20+J33*(1-$B$20)))</f>
        <v/>
      </c>
      <c r="L33" s="43">
        <f>IF(OR(H33="",K33=""),"",K33-H33)</f>
        <v/>
      </c>
      <c r="M33" s="17" t="n"/>
    </row>
    <row r="34">
      <c r="A34" s="17" t="n"/>
      <c r="B34" s="27" t="n"/>
      <c r="C34" s="26" t="n"/>
      <c r="D34" s="24" t="n"/>
      <c r="E34" s="26" t="n"/>
      <c r="F34" s="38">
        <f>Formulation!$B$20</f>
        <v/>
      </c>
      <c r="G34" s="31">
        <f>IF(E34="","",E34/F34)</f>
        <v/>
      </c>
      <c r="H34" s="20">
        <f>IF(OR(G34="",$E$15=""),"",1-G34/$E$15)</f>
        <v/>
      </c>
      <c r="I34" s="26" t="n"/>
      <c r="J34" s="30">
        <f>IF(I34="","",(I34-$B$18)/($B$19-$B$18))</f>
        <v/>
      </c>
      <c r="K34" s="20">
        <f>IF(OR(J34="",$B$20=""),"",J34/($B$20+J34*(1-$B$20)))</f>
        <v/>
      </c>
      <c r="L34" s="43">
        <f>IF(OR(H34="",K34=""),"",K34-H34)</f>
        <v/>
      </c>
      <c r="M34" s="17" t="n"/>
    </row>
    <row r="35">
      <c r="A35" s="17" t="n"/>
      <c r="B35" s="27" t="n"/>
      <c r="C35" s="26" t="n"/>
      <c r="D35" s="24" t="n"/>
      <c r="E35" s="26" t="n"/>
      <c r="F35" s="38">
        <f>Formulation!$B$20</f>
        <v/>
      </c>
      <c r="G35" s="31">
        <f>IF(E35="","",E35/F35)</f>
        <v/>
      </c>
      <c r="H35" s="20">
        <f>IF(OR(G35="",$E$15=""),"",1-G35/$E$15)</f>
        <v/>
      </c>
      <c r="I35" s="26" t="n"/>
      <c r="J35" s="30">
        <f>IF(I35="","",(I35-$B$18)/($B$19-$B$18))</f>
        <v/>
      </c>
      <c r="K35" s="20">
        <f>IF(OR(J35="",$B$20=""),"",J35/($B$20+J35*(1-$B$20)))</f>
        <v/>
      </c>
      <c r="L35" s="43">
        <f>IF(OR(H35="",K35=""),"",K35-H35)</f>
        <v/>
      </c>
      <c r="M35" s="17" t="n"/>
    </row>
    <row r="36">
      <c r="A36" s="17" t="n"/>
      <c r="B36" s="27" t="n"/>
      <c r="C36" s="26" t="n"/>
      <c r="D36" s="24" t="n"/>
      <c r="E36" s="26" t="n"/>
      <c r="F36" s="38">
        <f>Formulation!$B$20</f>
        <v/>
      </c>
      <c r="G36" s="31">
        <f>IF(E36="","",E36/F36)</f>
        <v/>
      </c>
      <c r="H36" s="20">
        <f>IF(OR(G36="",$E$15=""),"",1-G36/$E$15)</f>
        <v/>
      </c>
      <c r="I36" s="26" t="n"/>
      <c r="J36" s="30">
        <f>IF(I36="","",(I36-$B$18)/($B$19-$B$18))</f>
        <v/>
      </c>
      <c r="K36" s="20">
        <f>IF(OR(J36="",$B$20=""),"",J36/($B$20+J36*(1-$B$20)))</f>
        <v/>
      </c>
      <c r="L36" s="43">
        <f>IF(OR(H36="",K36=""),"",K36-H36)</f>
        <v/>
      </c>
      <c r="M36" s="17" t="n"/>
    </row>
    <row r="37">
      <c r="A37" s="17" t="n"/>
      <c r="B37" s="27" t="n"/>
      <c r="C37" s="26" t="n"/>
      <c r="D37" s="24" t="n"/>
      <c r="E37" s="26" t="n"/>
      <c r="F37" s="38">
        <f>Formulation!$B$20</f>
        <v/>
      </c>
      <c r="G37" s="31">
        <f>IF(E37="","",E37/F37)</f>
        <v/>
      </c>
      <c r="H37" s="20">
        <f>IF(OR(G37="",$E$15=""),"",1-G37/$E$15)</f>
        <v/>
      </c>
      <c r="I37" s="26" t="n"/>
      <c r="J37" s="30">
        <f>IF(I37="","",(I37-$B$18)/($B$19-$B$18))</f>
        <v/>
      </c>
      <c r="K37" s="20">
        <f>IF(OR(J37="",$B$20=""),"",J37/($B$20+J37*(1-$B$20)))</f>
        <v/>
      </c>
      <c r="L37" s="43">
        <f>IF(OR(H37="",K37=""),"",K37-H37)</f>
        <v/>
      </c>
      <c r="M37" s="17" t="n"/>
    </row>
    <row r="38">
      <c r="A38" s="17" t="n"/>
      <c r="B38" s="27" t="n"/>
      <c r="C38" s="26" t="n"/>
      <c r="D38" s="24" t="n"/>
      <c r="E38" s="26" t="n"/>
      <c r="F38" s="38">
        <f>Formulation!$B$20</f>
        <v/>
      </c>
      <c r="G38" s="31">
        <f>IF(E38="","",E38/F38)</f>
        <v/>
      </c>
      <c r="H38" s="20">
        <f>IF(OR(G38="",$E$15=""),"",1-G38/$E$15)</f>
        <v/>
      </c>
      <c r="I38" s="26" t="n"/>
      <c r="J38" s="30">
        <f>IF(I38="","",(I38-$B$18)/($B$19-$B$18))</f>
        <v/>
      </c>
      <c r="K38" s="20">
        <f>IF(OR(J38="",$B$20=""),"",J38/($B$20+J38*(1-$B$20)))</f>
        <v/>
      </c>
      <c r="L38" s="43">
        <f>IF(OR(H38="",K38=""),"",K38-H38)</f>
        <v/>
      </c>
      <c r="M38" s="17" t="n"/>
    </row>
    <row r="39">
      <c r="A39" s="17" t="n"/>
      <c r="B39" s="27" t="n"/>
      <c r="C39" s="26" t="n"/>
      <c r="D39" s="24" t="n"/>
      <c r="E39" s="26" t="n"/>
      <c r="F39" s="38">
        <f>Formulation!$B$20</f>
        <v/>
      </c>
      <c r="G39" s="31">
        <f>IF(E39="","",E39/F39)</f>
        <v/>
      </c>
      <c r="H39" s="20">
        <f>IF(OR(G39="",$E$15=""),"",1-G39/$E$15)</f>
        <v/>
      </c>
      <c r="I39" s="26" t="n"/>
      <c r="J39" s="30">
        <f>IF(I39="","",(I39-$B$18)/($B$19-$B$18))</f>
        <v/>
      </c>
      <c r="K39" s="20">
        <f>IF(OR(J39="",$B$20=""),"",J39/($B$20+J39*(1-$B$20)))</f>
        <v/>
      </c>
      <c r="L39" s="43">
        <f>IF(OR(H39="",K39=""),"",K39-H39)</f>
        <v/>
      </c>
      <c r="M39" s="17" t="n"/>
    </row>
    <row r="40">
      <c r="A40" s="17" t="n"/>
      <c r="B40" s="27" t="n"/>
      <c r="C40" s="26" t="n"/>
      <c r="D40" s="24" t="n"/>
      <c r="E40" s="26" t="n"/>
      <c r="F40" s="38">
        <f>Formulation!$B$20</f>
        <v/>
      </c>
      <c r="G40" s="31">
        <f>IF(E40="","",E40/F40)</f>
        <v/>
      </c>
      <c r="H40" s="20">
        <f>IF(OR(G40="",$E$15=""),"",1-G40/$E$15)</f>
        <v/>
      </c>
      <c r="I40" s="26" t="n"/>
      <c r="J40" s="30">
        <f>IF(I40="","",(I40-$B$18)/($B$19-$B$18))</f>
        <v/>
      </c>
      <c r="K40" s="20">
        <f>IF(OR(J40="",$B$20=""),"",J40/($B$20+J40*(1-$B$20)))</f>
        <v/>
      </c>
      <c r="L40" s="43">
        <f>IF(OR(H40="",K40=""),"",K40-H40)</f>
        <v/>
      </c>
      <c r="M40" s="17" t="n"/>
    </row>
    <row r="41">
      <c r="A41" s="17" t="n"/>
      <c r="B41" s="27" t="n"/>
      <c r="C41" s="26" t="n"/>
      <c r="D41" s="24" t="n"/>
      <c r="E41" s="26" t="n"/>
      <c r="F41" s="38">
        <f>Formulation!$B$20</f>
        <v/>
      </c>
      <c r="G41" s="31">
        <f>IF(E41="","",E41/F41)</f>
        <v/>
      </c>
      <c r="H41" s="20">
        <f>IF(OR(G41="",$E$15=""),"",1-G41/$E$15)</f>
        <v/>
      </c>
      <c r="I41" s="26" t="n"/>
      <c r="J41" s="30">
        <f>IF(I41="","",(I41-$B$18)/($B$19-$B$18))</f>
        <v/>
      </c>
      <c r="K41" s="20">
        <f>IF(OR(J41="",$B$20=""),"",J41/($B$20+J41*(1-$B$20)))</f>
        <v/>
      </c>
      <c r="L41" s="43">
        <f>IF(OR(H41="",K41=""),"",K41-H41)</f>
        <v/>
      </c>
      <c r="M41" s="17" t="n"/>
    </row>
    <row r="42">
      <c r="A42" s="17" t="n"/>
      <c r="B42" s="27" t="n"/>
      <c r="C42" s="26" t="n"/>
      <c r="D42" s="24" t="n"/>
      <c r="E42" s="26" t="n"/>
      <c r="F42" s="38">
        <f>Formulation!$B$20</f>
        <v/>
      </c>
      <c r="G42" s="31">
        <f>IF(E42="","",E42/F42)</f>
        <v/>
      </c>
      <c r="H42" s="20">
        <f>IF(OR(G42="",$E$15=""),"",1-G42/$E$15)</f>
        <v/>
      </c>
      <c r="I42" s="26" t="n"/>
      <c r="J42" s="30">
        <f>IF(I42="","",(I42-$B$18)/($B$19-$B$18))</f>
        <v/>
      </c>
      <c r="K42" s="20">
        <f>IF(OR(J42="",$B$20=""),"",J42/($B$20+J42*(1-$B$20)))</f>
        <v/>
      </c>
      <c r="L42" s="43">
        <f>IF(OR(H42="",K42=""),"",K42-H42)</f>
        <v/>
      </c>
      <c r="M42" s="17" t="n"/>
    </row>
  </sheetData>
  <mergeCells count="10">
    <mergeCell ref="A9:D9"/>
    <mergeCell ref="A8:D8"/>
    <mergeCell ref="E14:G14"/>
    <mergeCell ref="G17:J17"/>
    <mergeCell ref="A12:D12"/>
    <mergeCell ref="A15:D15"/>
    <mergeCell ref="A11:D11"/>
    <mergeCell ref="A10:D10"/>
    <mergeCell ref="A13:D13"/>
    <mergeCell ref="A14:D14"/>
  </mergeCells>
  <dataValidations count="2">
    <dataValidation sqref="E14" showDropDown="0" showInputMessage="0" showErrorMessage="1" allowBlank="0" type="list">
      <formula1>"Measured reference,Theoretical (formulation)"</formula1>
    </dataValidation>
    <dataValidation sqref="G17" showDropDown="0" showInputMessage="0" showErrorMessage="1" allowBlank="0" type="list">
      <formula1>"Fitted to residual-heat α,ΔCp ratio,Tg0/Tg∞ estimate,Manual"</formula1>
    </dataValidation>
  </dataValidations>
  <hyperlinks>
    <hyperlink ref="O2" location="'Guide'!A1" display="↩ Back to the Guide"/>
    <hyperlink ref="O21" location="'Sample_Prep'!A46" display="▸ Full preparation protocol for this sheet (Sample_Prep)"/>
  </hyperlink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26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16" customWidth="1" min="3" max="3"/>
    <col width="18" customWidth="1" min="4" max="4"/>
    <col width="13" customWidth="1" min="5" max="5"/>
    <col width="15" customWidth="1" min="6" max="6"/>
    <col width="4" customWidth="1" min="7" max="7"/>
    <col width="100" customWidth="1" min="8" max="8"/>
  </cols>
  <sheetData>
    <row r="1">
      <c r="A1" s="1" t="inlineStr">
        <is>
          <t>DSC only — isothermal cure + residual scan (no reference scan, no FTIR)</t>
        </is>
      </c>
      <c r="J1" s="16" t="inlineStr">
        <is>
          <t>HOW TO USE — DSC_Isothermal (DSC only, one specimen)</t>
        </is>
      </c>
    </row>
    <row r="2">
      <c r="A2" s="2" t="inlineStr">
        <is>
          <t>Paste the isothermal heat-flow export; Q(t) is integrated (trapezoid) and α(t) = Q(t)/ΔH_total, with ΔH_total = Q_iso + Q_residual by default.     ▸ How to use this sheet: column J</t>
        </is>
      </c>
      <c r="J2" s="4" t="inlineStr">
        <is>
          <t>↩ Back to the Guide</t>
        </is>
      </c>
    </row>
    <row r="3">
      <c r="J3" s="22" t="inlineStr">
        <is>
          <t>Run</t>
        </is>
      </c>
    </row>
    <row r="4">
      <c r="A4" s="23" t="inlineStr">
        <is>
          <t>Sample ID</t>
        </is>
      </c>
      <c r="B4" s="17" t="inlineStr">
        <is>
          <t>ISO-80</t>
        </is>
      </c>
      <c r="H4" s="2" t="inlineStr"/>
      <c r="J4" s="5" t="inlineStr">
        <is>
          <t>1  Mix, load quickly, jump to the cure temperature and hold until the heat flow is flat.</t>
        </is>
      </c>
    </row>
    <row r="5">
      <c r="A5" s="23" t="inlineStr">
        <is>
          <t>Isothermal temperature (°C)</t>
        </is>
      </c>
      <c r="B5" s="27" t="n">
        <v>80</v>
      </c>
      <c r="H5" s="2" t="inlineStr">
        <is>
          <t>Information only</t>
        </is>
      </c>
      <c r="J5" s="5" t="inlineStr">
        <is>
          <t>2  Cool, then heat the same specimen through its residual exotherm (dynamic scan).</t>
        </is>
      </c>
    </row>
    <row r="6">
      <c r="A6" s="23" t="inlineStr">
        <is>
          <t>Sample mass (mg)</t>
        </is>
      </c>
      <c r="B6" s="24" t="n">
        <v>9.5</v>
      </c>
      <c r="H6" s="2" t="inlineStr">
        <is>
          <t>If the export is in mW, divide by mass in mg → W/g (mW/mg = W/g)</t>
        </is>
      </c>
      <c r="J6" s="22" t="inlineStr">
        <is>
          <t>Enter</t>
        </is>
      </c>
    </row>
    <row r="7">
      <c r="A7" s="23" t="inlineStr">
        <is>
          <t>Exotherm direction in export  ▼</t>
        </is>
      </c>
      <c r="B7" s="17" t="inlineStr">
        <is>
          <t>Exo up</t>
        </is>
      </c>
      <c r="H7" s="2" t="inlineStr">
        <is>
          <t>Sign convention of your instrument</t>
        </is>
      </c>
      <c r="J7" s="5" t="inlineStr">
        <is>
          <t>3  Paste time (min) and heat flow (W/g) from A27 down — no gaps, up to 1000 points. Clear unused example rows.</t>
        </is>
      </c>
    </row>
    <row r="8">
      <c r="A8" s="23" t="inlineStr">
        <is>
          <t>Baseline heat flow (W/g, same sign as export)</t>
        </is>
      </c>
      <c r="B8" s="44" t="n">
        <v>0.0005</v>
      </c>
      <c r="H8" s="2" t="inlineStr">
        <is>
          <t>Best: rerun the cured specimen at the same T, or an empty-pan run. Blank → last data point is taken as baseline</t>
        </is>
      </c>
      <c r="J8" s="2" t="inlineStr">
        <is>
          <t xml:space="preserve">     Exported in mW?  Divide by the sample mass in mg (mW/mg = W/g).</t>
        </is>
      </c>
    </row>
    <row r="9">
      <c r="A9" s="23" t="inlineStr">
        <is>
          <t>Residual heat, dynamic scan after isothermal (J/g sample)</t>
        </is>
      </c>
      <c r="B9" s="24" t="n">
        <v>9.76</v>
      </c>
      <c r="H9" s="2" t="inlineStr">
        <is>
          <t>Cool after the isothermal, then scan through the residual exotherm</t>
        </is>
      </c>
      <c r="J9" s="5" t="inlineStr">
        <is>
          <t>4  B7: exotherm direction of your instrument.   B8: baseline heat flow, ideally from re-running the</t>
        </is>
      </c>
    </row>
    <row r="10">
      <c r="A10" s="23" t="inlineStr">
        <is>
          <t>ΔH_total basis  ▼</t>
        </is>
      </c>
      <c r="B10" s="17" t="inlineStr">
        <is>
          <t>Isothermal + residual</t>
        </is>
      </c>
      <c r="H10" s="2" t="inlineStr">
        <is>
          <t>Isothermal + residual = one specimen, DSC only. Alternatives use DSC!E8 or the formulation</t>
        </is>
      </c>
      <c r="J10" s="2" t="inlineStr">
        <is>
          <t xml:space="preserve">     cured specimen at the same temperature. Blank B8 = last point, valid only if cure had finished.</t>
        </is>
      </c>
    </row>
    <row r="11">
      <c r="J11" s="5" t="inlineStr">
        <is>
          <t>5  B9: residual heat from step 2 (J/g sample).   B10: leave on Isothermal + residual.</t>
        </is>
      </c>
    </row>
    <row r="12">
      <c r="A12" s="3" t="inlineStr">
        <is>
          <t>Calculated</t>
        </is>
      </c>
      <c r="J12" s="22" t="inlineStr">
        <is>
          <t>Read</t>
        </is>
      </c>
    </row>
    <row r="13">
      <c r="A13" s="23" t="inlineStr">
        <is>
          <t>Data points</t>
        </is>
      </c>
      <c r="B13" s="35">
        <f>COUNT(A27:A1026)</f>
        <v/>
      </c>
      <c r="H13" s="2" t="inlineStr">
        <is>
          <t>Data must start at row 27 with no gaps</t>
        </is>
      </c>
      <c r="J13" s="5" t="inlineStr">
        <is>
          <t>6  B19 = conversion at the end of the hold; columns E–F = α(t) and dα/dt for every point.</t>
        </is>
      </c>
    </row>
    <row r="14">
      <c r="A14" s="23" t="inlineStr">
        <is>
          <t>Baseline used (W/g)</t>
        </is>
      </c>
      <c r="B14" s="45">
        <f>IF(B8="",IF(B13=0,0,INDEX(B27:B1026,B13)),B8)</f>
        <v/>
      </c>
      <c r="H14" s="2" t="inlineStr"/>
      <c r="J14" s="5" t="inlineStr">
        <is>
          <t>7  B21 compares the total heat with theory; B23 warns if the run ended before the reaction did.</t>
        </is>
      </c>
    </row>
    <row r="15">
      <c r="A15" s="23" t="inlineStr">
        <is>
          <t>Sign factor</t>
        </is>
      </c>
      <c r="B15" s="35">
        <f>IF(B7="Exo down",-1,1)</f>
        <v/>
      </c>
      <c r="H15" s="2" t="inlineStr"/>
      <c r="J15" s="2" t="inlineStr">
        <is>
          <t>To plot α(t): select the filled rows of columns A and E, then Insert → Scatter.</t>
        </is>
      </c>
    </row>
    <row r="16">
      <c r="A16" s="23" t="inlineStr">
        <is>
          <t>Isothermal heat, Q_iso (J/g sample)</t>
        </is>
      </c>
      <c r="B16" s="46">
        <f>IF(B13=0,"",INDEX(D27:D1026,B13))</f>
        <v/>
      </c>
      <c r="H16" s="2" t="inlineStr">
        <is>
          <t>Integrated net exotherm over the whole run</t>
        </is>
      </c>
      <c r="J16" s="22" t="inlineStr">
        <is>
          <t>Specimens</t>
        </is>
      </c>
    </row>
    <row r="17">
      <c r="A17" s="23" t="inlineStr">
        <is>
          <t>Q_iso + Q_residual (J/g sample)</t>
        </is>
      </c>
      <c r="B17" s="46">
        <f>IF(B16="","",B16+B9)</f>
        <v/>
      </c>
      <c r="H17" s="2" t="inlineStr"/>
      <c r="J17" s="5" t="inlineStr">
        <is>
          <t>5–10 mg of fresh mix in a hermetic pan, dropped into a cell already at the cure temperature.</t>
        </is>
      </c>
    </row>
    <row r="18">
      <c r="A18" s="23" t="inlineStr">
        <is>
          <t>ΔH_total used (J/g sample)</t>
        </is>
      </c>
      <c r="B18" s="47">
        <f>IF(B10="Theoretical (formulation)",Formulation!B31,IF(B10="Measured reference",IF(DSC!E8="","",DSC!E8*Formulation!B20),B17))</f>
        <v/>
      </c>
      <c r="H18" s="2" t="inlineStr"/>
      <c r="J18" s="4" t="inlineStr">
        <is>
          <t>▸ Full preparation protocol for this sheet (Sample_Prep)</t>
        </is>
      </c>
    </row>
    <row r="19">
      <c r="A19" s="23" t="inlineStr">
        <is>
          <t>α at end of isothermal = Q_iso / ΔH_total</t>
        </is>
      </c>
      <c r="B19" s="20">
        <f>IF(OR(B16="",B18=""),"",B16/B18)</f>
        <v/>
      </c>
      <c r="H19" s="2" t="inlineStr"/>
    </row>
    <row r="20">
      <c r="A20" s="23" t="inlineStr">
        <is>
          <t>α from residual = 1 − Q_res / ΔH_total</t>
        </is>
      </c>
      <c r="B20" s="20">
        <f>IF(OR(B9="",B18=""),"",1-B9/B18)</f>
        <v/>
      </c>
      <c r="H20" s="2" t="inlineStr">
        <is>
          <t>Identical to the row above when basis = Isothermal + residual</t>
        </is>
      </c>
      <c r="J20" s="22" t="inlineStr">
        <is>
          <t>Figure — 1 paste the isothermal export, 2 add the residual scan, 3 read α(t).</t>
        </is>
      </c>
    </row>
    <row r="21">
      <c r="A21" s="23" t="inlineStr">
        <is>
          <t>(Q_iso + Q_res) / theoretical ΔH</t>
        </is>
      </c>
      <c r="B21" s="20">
        <f>IF(B17="","",B17/Formulation!B31)</f>
        <v/>
      </c>
      <c r="H21" s="2" t="inlineStr">
        <is>
          <t>Heat balance; well below 100 % → heat lost before data collection began, or ΔH_urethane set too high</t>
        </is>
      </c>
    </row>
    <row r="22">
      <c r="A22" s="23" t="inlineStr">
        <is>
          <t>End-of-run net heat flow, % of peak</t>
        </is>
      </c>
      <c r="B22" s="20">
        <f>IF(B13=0,"",INDEX(C27:C1026,B13)/MAX(C27:C1026))</f>
        <v/>
      </c>
      <c r="H22" s="2" t="inlineStr"/>
    </row>
    <row r="23">
      <c r="A23" s="23" t="inlineStr">
        <is>
          <t>Run check</t>
        </is>
      </c>
      <c r="B23" s="21">
        <f>IF(B22="","",IF(B22&gt;0.02,"Reaction still running at end of run — enter a measured baseline and the residual heat","OK"))</f>
        <v/>
      </c>
      <c r="C23" s="37" t="n"/>
      <c r="D23" s="37" t="n"/>
      <c r="E23" s="37" t="n"/>
      <c r="F23" s="36" t="n"/>
      <c r="H23" s="2" t="inlineStr"/>
    </row>
    <row r="24">
      <c r="A24" s="2" t="inlineStr">
        <is>
          <t>The first ~0.5–1 min after loading is usually lost to thermal equilibration; that heat is missed by Q_iso but still counted in the heat-balance row.</t>
        </is>
      </c>
    </row>
    <row r="26" ht="45" customHeight="1">
      <c r="A26" s="11" t="inlineStr">
        <is>
          <t>Time (min)</t>
        </is>
      </c>
      <c r="B26" s="11" t="inlineStr">
        <is>
          <t>Heat flow, as exported (W/g)</t>
        </is>
      </c>
      <c r="C26" s="11" t="inlineStr">
        <is>
          <t>Net exotherm (W/g)</t>
        </is>
      </c>
      <c r="D26" s="11" t="inlineStr">
        <is>
          <t>Cumulative heat Q(t) (J/g sample)</t>
        </is>
      </c>
      <c r="E26" s="11" t="inlineStr">
        <is>
          <t>α(t)</t>
        </is>
      </c>
      <c r="F26" s="11" t="inlineStr">
        <is>
          <t>dα/dt (min⁻¹)</t>
        </is>
      </c>
    </row>
    <row r="27">
      <c r="A27" s="26" t="n">
        <v>0</v>
      </c>
      <c r="B27" s="44" t="n">
        <v>0.027167</v>
      </c>
      <c r="C27" s="45">
        <f>IF(B27="","",$B$15*(B27-$B$14))</f>
        <v/>
      </c>
      <c r="D27" s="46">
        <f>IF(A27="","",0)</f>
        <v/>
      </c>
      <c r="E27" s="20">
        <f>IF(OR(D27="",$B$18=""),"",D27/$B$18)</f>
        <v/>
      </c>
      <c r="F27" s="29">
        <f>IF(OR(C27="",$B$18=""),"",C27*60/$B$18)</f>
        <v/>
      </c>
    </row>
    <row r="28">
      <c r="A28" s="26" t="n">
        <v>3</v>
      </c>
      <c r="B28" s="44" t="n">
        <v>0.024233</v>
      </c>
      <c r="C28" s="45">
        <f>IF(B28="","",$B$15*(B28-$B$14))</f>
        <v/>
      </c>
      <c r="D28" s="46">
        <f>IF(OR(A28="",C28="",D27="",C27=""),"",D27+(C27+C28)/2*(A28-A27)*60)</f>
        <v/>
      </c>
      <c r="E28" s="20">
        <f>IF(OR(D28="",$B$18=""),"",D28/$B$18)</f>
        <v/>
      </c>
      <c r="F28" s="29">
        <f>IF(OR(C28="",$B$18=""),"",C28*60/$B$18)</f>
        <v/>
      </c>
    </row>
    <row r="29">
      <c r="A29" s="26" t="n">
        <v>6</v>
      </c>
      <c r="B29" s="44" t="n">
        <v>0.021759</v>
      </c>
      <c r="C29" s="45">
        <f>IF(B29="","",$B$15*(B29-$B$14))</f>
        <v/>
      </c>
      <c r="D29" s="46">
        <f>IF(OR(A29="",C29="",D28="",C28=""),"",D28+(C28+C29)/2*(A29-A28)*60)</f>
        <v/>
      </c>
      <c r="E29" s="20">
        <f>IF(OR(D29="",$B$18=""),"",D29/$B$18)</f>
        <v/>
      </c>
      <c r="F29" s="29">
        <f>IF(OR(C29="",$B$18=""),"",C29*60/$B$18)</f>
        <v/>
      </c>
    </row>
    <row r="30">
      <c r="A30" s="26" t="n">
        <v>9</v>
      </c>
      <c r="B30" s="44" t="n">
        <v>0.019652</v>
      </c>
      <c r="C30" s="45">
        <f>IF(B30="","",$B$15*(B30-$B$14))</f>
        <v/>
      </c>
      <c r="D30" s="46">
        <f>IF(OR(A30="",C30="",D29="",C29=""),"",D29+(C29+C30)/2*(A30-A29)*60)</f>
        <v/>
      </c>
      <c r="E30" s="20">
        <f>IF(OR(D30="",$B$18=""),"",D30/$B$18)</f>
        <v/>
      </c>
      <c r="F30" s="29">
        <f>IF(OR(C30="",$B$18=""),"",C30*60/$B$18)</f>
        <v/>
      </c>
    </row>
    <row r="31">
      <c r="A31" s="26" t="n">
        <v>12</v>
      </c>
      <c r="B31" s="44" t="n">
        <v>0.017843</v>
      </c>
      <c r="C31" s="45">
        <f>IF(B31="","",$B$15*(B31-$B$14))</f>
        <v/>
      </c>
      <c r="D31" s="46">
        <f>IF(OR(A31="",C31="",D30="",C30=""),"",D30+(C30+C31)/2*(A31-A30)*60)</f>
        <v/>
      </c>
      <c r="E31" s="20">
        <f>IF(OR(D31="",$B$18=""),"",D31/$B$18)</f>
        <v/>
      </c>
      <c r="F31" s="29">
        <f>IF(OR(C31="",$B$18=""),"",C31*60/$B$18)</f>
        <v/>
      </c>
    </row>
    <row r="32">
      <c r="A32" s="26" t="n">
        <v>15</v>
      </c>
      <c r="B32" s="44" t="n">
        <v>0.016279</v>
      </c>
      <c r="C32" s="45">
        <f>IF(B32="","",$B$15*(B32-$B$14))</f>
        <v/>
      </c>
      <c r="D32" s="46">
        <f>IF(OR(A32="",C32="",D31="",C31=""),"",D31+(C31+C32)/2*(A32-A31)*60)</f>
        <v/>
      </c>
      <c r="E32" s="20">
        <f>IF(OR(D32="",$B$18=""),"",D32/$B$18)</f>
        <v/>
      </c>
      <c r="F32" s="29">
        <f>IF(OR(C32="",$B$18=""),"",C32*60/$B$18)</f>
        <v/>
      </c>
    </row>
    <row r="33">
      <c r="A33" s="26" t="n">
        <v>18</v>
      </c>
      <c r="B33" s="44" t="n">
        <v>0.014918</v>
      </c>
      <c r="C33" s="45">
        <f>IF(B33="","",$B$15*(B33-$B$14))</f>
        <v/>
      </c>
      <c r="D33" s="46">
        <f>IF(OR(A33="",C33="",D32="",C32=""),"",D32+(C32+C33)/2*(A33-A32)*60)</f>
        <v/>
      </c>
      <c r="E33" s="20">
        <f>IF(OR(D33="",$B$18=""),"",D33/$B$18)</f>
        <v/>
      </c>
      <c r="F33" s="29">
        <f>IF(OR(C33="",$B$18=""),"",C33*60/$B$18)</f>
        <v/>
      </c>
    </row>
    <row r="34">
      <c r="A34" s="26" t="n">
        <v>21</v>
      </c>
      <c r="B34" s="44" t="n">
        <v>0.013725</v>
      </c>
      <c r="C34" s="45">
        <f>IF(B34="","",$B$15*(B34-$B$14))</f>
        <v/>
      </c>
      <c r="D34" s="46">
        <f>IF(OR(A34="",C34="",D33="",C33=""),"",D33+(C33+C34)/2*(A34-A33)*60)</f>
        <v/>
      </c>
      <c r="E34" s="20">
        <f>IF(OR(D34="",$B$18=""),"",D34/$B$18)</f>
        <v/>
      </c>
      <c r="F34" s="29">
        <f>IF(OR(C34="",$B$18=""),"",C34*60/$B$18)</f>
        <v/>
      </c>
    </row>
    <row r="35">
      <c r="A35" s="26" t="n">
        <v>24</v>
      </c>
      <c r="B35" s="44" t="n">
        <v>0.012674</v>
      </c>
      <c r="C35" s="45">
        <f>IF(B35="","",$B$15*(B35-$B$14))</f>
        <v/>
      </c>
      <c r="D35" s="46">
        <f>IF(OR(A35="",C35="",D34="",C34=""),"",D34+(C34+C35)/2*(A35-A34)*60)</f>
        <v/>
      </c>
      <c r="E35" s="20">
        <f>IF(OR(D35="",$B$18=""),"",D35/$B$18)</f>
        <v/>
      </c>
      <c r="F35" s="29">
        <f>IF(OR(C35="",$B$18=""),"",C35*60/$B$18)</f>
        <v/>
      </c>
    </row>
    <row r="36">
      <c r="A36" s="26" t="n">
        <v>27</v>
      </c>
      <c r="B36" s="44" t="n">
        <v>0.011744</v>
      </c>
      <c r="C36" s="45">
        <f>IF(B36="","",$B$15*(B36-$B$14))</f>
        <v/>
      </c>
      <c r="D36" s="46">
        <f>IF(OR(A36="",C36="",D35="",C35=""),"",D35+(C35+C36)/2*(A36-A35)*60)</f>
        <v/>
      </c>
      <c r="E36" s="20">
        <f>IF(OR(D36="",$B$18=""),"",D36/$B$18)</f>
        <v/>
      </c>
      <c r="F36" s="29">
        <f>IF(OR(C36="",$B$18=""),"",C36*60/$B$18)</f>
        <v/>
      </c>
    </row>
    <row r="37">
      <c r="A37" s="26" t="n">
        <v>30</v>
      </c>
      <c r="B37" s="44" t="n">
        <v>0.010917</v>
      </c>
      <c r="C37" s="45">
        <f>IF(B37="","",$B$15*(B37-$B$14))</f>
        <v/>
      </c>
      <c r="D37" s="46">
        <f>IF(OR(A37="",C37="",D36="",C36=""),"",D36+(C36+C37)/2*(A37-A36)*60)</f>
        <v/>
      </c>
      <c r="E37" s="20">
        <f>IF(OR(D37="",$B$18=""),"",D37/$B$18)</f>
        <v/>
      </c>
      <c r="F37" s="29">
        <f>IF(OR(C37="",$B$18=""),"",C37*60/$B$18)</f>
        <v/>
      </c>
    </row>
    <row r="38">
      <c r="A38" s="26" t="n">
        <v>33</v>
      </c>
      <c r="B38" s="44" t="n">
        <v>0.010177</v>
      </c>
      <c r="C38" s="45">
        <f>IF(B38="","",$B$15*(B38-$B$14))</f>
        <v/>
      </c>
      <c r="D38" s="46">
        <f>IF(OR(A38="",C38="",D37="",C37=""),"",D37+(C37+C38)/2*(A38-A37)*60)</f>
        <v/>
      </c>
      <c r="E38" s="20">
        <f>IF(OR(D38="",$B$18=""),"",D38/$B$18)</f>
        <v/>
      </c>
      <c r="F38" s="29">
        <f>IF(OR(C38="",$B$18=""),"",C38*60/$B$18)</f>
        <v/>
      </c>
    </row>
    <row r="39">
      <c r="A39" s="26" t="n">
        <v>36</v>
      </c>
      <c r="B39" s="44" t="n">
        <v>0.009514</v>
      </c>
      <c r="C39" s="45">
        <f>IF(B39="","",$B$15*(B39-$B$14))</f>
        <v/>
      </c>
      <c r="D39" s="46">
        <f>IF(OR(A39="",C39="",D38="",C38=""),"",D38+(C38+C39)/2*(A39-A38)*60)</f>
        <v/>
      </c>
      <c r="E39" s="20">
        <f>IF(OR(D39="",$B$18=""),"",D39/$B$18)</f>
        <v/>
      </c>
      <c r="F39" s="29">
        <f>IF(OR(C39="",$B$18=""),"",C39*60/$B$18)</f>
        <v/>
      </c>
    </row>
    <row r="40">
      <c r="A40" s="26" t="n">
        <v>39</v>
      </c>
      <c r="B40" s="44" t="n">
        <v>0.008916</v>
      </c>
      <c r="C40" s="45">
        <f>IF(B40="","",$B$15*(B40-$B$14))</f>
        <v/>
      </c>
      <c r="D40" s="46">
        <f>IF(OR(A40="",C40="",D39="",C39=""),"",D39+(C39+C40)/2*(A40-A39)*60)</f>
        <v/>
      </c>
      <c r="E40" s="20">
        <f>IF(OR(D40="",$B$18=""),"",D40/$B$18)</f>
        <v/>
      </c>
      <c r="F40" s="29">
        <f>IF(OR(C40="",$B$18=""),"",C40*60/$B$18)</f>
        <v/>
      </c>
    </row>
    <row r="41">
      <c r="A41" s="26" t="n">
        <v>42</v>
      </c>
      <c r="B41" s="44" t="n">
        <v>0.008376</v>
      </c>
      <c r="C41" s="45">
        <f>IF(B41="","",$B$15*(B41-$B$14))</f>
        <v/>
      </c>
      <c r="D41" s="46">
        <f>IF(OR(A41="",C41="",D40="",C40=""),"",D40+(C40+C41)/2*(A41-A40)*60)</f>
        <v/>
      </c>
      <c r="E41" s="20">
        <f>IF(OR(D41="",$B$18=""),"",D41/$B$18)</f>
        <v/>
      </c>
      <c r="F41" s="29">
        <f>IF(OR(C41="",$B$18=""),"",C41*60/$B$18)</f>
        <v/>
      </c>
    </row>
    <row r="42">
      <c r="A42" s="26" t="n">
        <v>45</v>
      </c>
      <c r="B42" s="44" t="n">
        <v>0.007887</v>
      </c>
      <c r="C42" s="45">
        <f>IF(B42="","",$B$15*(B42-$B$14))</f>
        <v/>
      </c>
      <c r="D42" s="46">
        <f>IF(OR(A42="",C42="",D41="",C41=""),"",D41+(C41+C42)/2*(A42-A41)*60)</f>
        <v/>
      </c>
      <c r="E42" s="20">
        <f>IF(OR(D42="",$B$18=""),"",D42/$B$18)</f>
        <v/>
      </c>
      <c r="F42" s="29">
        <f>IF(OR(C42="",$B$18=""),"",C42*60/$B$18)</f>
        <v/>
      </c>
    </row>
    <row r="43">
      <c r="A43" s="26" t="n">
        <v>48</v>
      </c>
      <c r="B43" s="44" t="n">
        <v>0.007442</v>
      </c>
      <c r="C43" s="45">
        <f>IF(B43="","",$B$15*(B43-$B$14))</f>
        <v/>
      </c>
      <c r="D43" s="46">
        <f>IF(OR(A43="",C43="",D42="",C42=""),"",D42+(C42+C43)/2*(A43-A42)*60)</f>
        <v/>
      </c>
      <c r="E43" s="20">
        <f>IF(OR(D43="",$B$18=""),"",D43/$B$18)</f>
        <v/>
      </c>
      <c r="F43" s="29">
        <f>IF(OR(C43="",$B$18=""),"",C43*60/$B$18)</f>
        <v/>
      </c>
    </row>
    <row r="44">
      <c r="A44" s="26" t="n">
        <v>51</v>
      </c>
      <c r="B44" s="44" t="n">
        <v>0.007035</v>
      </c>
      <c r="C44" s="45">
        <f>IF(B44="","",$B$15*(B44-$B$14))</f>
        <v/>
      </c>
      <c r="D44" s="46">
        <f>IF(OR(A44="",C44="",D43="",C43=""),"",D43+(C43+C44)/2*(A44-A43)*60)</f>
        <v/>
      </c>
      <c r="E44" s="20">
        <f>IF(OR(D44="",$B$18=""),"",D44/$B$18)</f>
        <v/>
      </c>
      <c r="F44" s="29">
        <f>IF(OR(C44="",$B$18=""),"",C44*60/$B$18)</f>
        <v/>
      </c>
    </row>
    <row r="45">
      <c r="A45" s="26" t="n">
        <v>54</v>
      </c>
      <c r="B45" s="44" t="n">
        <v>0.006664</v>
      </c>
      <c r="C45" s="45">
        <f>IF(B45="","",$B$15*(B45-$B$14))</f>
        <v/>
      </c>
      <c r="D45" s="46">
        <f>IF(OR(A45="",C45="",D44="",C44=""),"",D44+(C44+C45)/2*(A45-A44)*60)</f>
        <v/>
      </c>
      <c r="E45" s="20">
        <f>IF(OR(D45="",$B$18=""),"",D45/$B$18)</f>
        <v/>
      </c>
      <c r="F45" s="29">
        <f>IF(OR(C45="",$B$18=""),"",C45*60/$B$18)</f>
        <v/>
      </c>
    </row>
    <row r="46">
      <c r="A46" s="26" t="n">
        <v>57</v>
      </c>
      <c r="B46" s="44" t="n">
        <v>0.006323</v>
      </c>
      <c r="C46" s="45">
        <f>IF(B46="","",$B$15*(B46-$B$14))</f>
        <v/>
      </c>
      <c r="D46" s="46">
        <f>IF(OR(A46="",C46="",D45="",C45=""),"",D45+(C45+C46)/2*(A46-A45)*60)</f>
        <v/>
      </c>
      <c r="E46" s="20">
        <f>IF(OR(D46="",$B$18=""),"",D46/$B$18)</f>
        <v/>
      </c>
      <c r="F46" s="29">
        <f>IF(OR(C46="",$B$18=""),"",C46*60/$B$18)</f>
        <v/>
      </c>
    </row>
    <row r="47">
      <c r="A47" s="26" t="n">
        <v>60</v>
      </c>
      <c r="B47" s="44" t="n">
        <v>0.00601</v>
      </c>
      <c r="C47" s="45">
        <f>IF(B47="","",$B$15*(B47-$B$14))</f>
        <v/>
      </c>
      <c r="D47" s="46">
        <f>IF(OR(A47="",C47="",D46="",C46=""),"",D46+(C46+C47)/2*(A47-A46)*60)</f>
        <v/>
      </c>
      <c r="E47" s="20">
        <f>IF(OR(D47="",$B$18=""),"",D47/$B$18)</f>
        <v/>
      </c>
      <c r="F47" s="29">
        <f>IF(OR(C47="",$B$18=""),"",C47*60/$B$18)</f>
        <v/>
      </c>
    </row>
    <row r="48">
      <c r="A48" s="26" t="n">
        <v>63</v>
      </c>
      <c r="B48" s="44" t="n">
        <v>0.005721</v>
      </c>
      <c r="C48" s="45">
        <f>IF(B48="","",$B$15*(B48-$B$14))</f>
        <v/>
      </c>
      <c r="D48" s="46">
        <f>IF(OR(A48="",C48="",D47="",C47=""),"",D47+(C47+C48)/2*(A48-A47)*60)</f>
        <v/>
      </c>
      <c r="E48" s="20">
        <f>IF(OR(D48="",$B$18=""),"",D48/$B$18)</f>
        <v/>
      </c>
      <c r="F48" s="29">
        <f>IF(OR(C48="",$B$18=""),"",C48*60/$B$18)</f>
        <v/>
      </c>
    </row>
    <row r="49">
      <c r="A49" s="26" t="n">
        <v>66</v>
      </c>
      <c r="B49" s="44" t="n">
        <v>0.005454</v>
      </c>
      <c r="C49" s="45">
        <f>IF(B49="","",$B$15*(B49-$B$14))</f>
        <v/>
      </c>
      <c r="D49" s="46">
        <f>IF(OR(A49="",C49="",D48="",C48=""),"",D48+(C48+C49)/2*(A49-A48)*60)</f>
        <v/>
      </c>
      <c r="E49" s="20">
        <f>IF(OR(D49="",$B$18=""),"",D49/$B$18)</f>
        <v/>
      </c>
      <c r="F49" s="29">
        <f>IF(OR(C49="",$B$18=""),"",C49*60/$B$18)</f>
        <v/>
      </c>
    </row>
    <row r="50">
      <c r="A50" s="26" t="n">
        <v>69</v>
      </c>
      <c r="B50" s="44" t="n">
        <v>0.005208</v>
      </c>
      <c r="C50" s="45">
        <f>IF(B50="","",$B$15*(B50-$B$14))</f>
        <v/>
      </c>
      <c r="D50" s="46">
        <f>IF(OR(A50="",C50="",D49="",C49=""),"",D49+(C49+C50)/2*(A50-A49)*60)</f>
        <v/>
      </c>
      <c r="E50" s="20">
        <f>IF(OR(D50="",$B$18=""),"",D50/$B$18)</f>
        <v/>
      </c>
      <c r="F50" s="29">
        <f>IF(OR(C50="",$B$18=""),"",C50*60/$B$18)</f>
        <v/>
      </c>
    </row>
    <row r="51">
      <c r="A51" s="26" t="n">
        <v>72</v>
      </c>
      <c r="B51" s="44" t="n">
        <v>0.004979</v>
      </c>
      <c r="C51" s="45">
        <f>IF(B51="","",$B$15*(B51-$B$14))</f>
        <v/>
      </c>
      <c r="D51" s="46">
        <f>IF(OR(A51="",C51="",D50="",C50=""),"",D50+(C50+C51)/2*(A51-A50)*60)</f>
        <v/>
      </c>
      <c r="E51" s="20">
        <f>IF(OR(D51="",$B$18=""),"",D51/$B$18)</f>
        <v/>
      </c>
      <c r="F51" s="29">
        <f>IF(OR(C51="",$B$18=""),"",C51*60/$B$18)</f>
        <v/>
      </c>
    </row>
    <row r="52">
      <c r="A52" s="26" t="n">
        <v>75</v>
      </c>
      <c r="B52" s="44" t="n">
        <v>0.004767</v>
      </c>
      <c r="C52" s="45">
        <f>IF(B52="","",$B$15*(B52-$B$14))</f>
        <v/>
      </c>
      <c r="D52" s="46">
        <f>IF(OR(A52="",C52="",D51="",C51=""),"",D51+(C51+C52)/2*(A52-A51)*60)</f>
        <v/>
      </c>
      <c r="E52" s="20">
        <f>IF(OR(D52="",$B$18=""),"",D52/$B$18)</f>
        <v/>
      </c>
      <c r="F52" s="29">
        <f>IF(OR(C52="",$B$18=""),"",C52*60/$B$18)</f>
        <v/>
      </c>
    </row>
    <row r="53">
      <c r="A53" s="26" t="n">
        <v>78</v>
      </c>
      <c r="B53" s="44" t="n">
        <v>0.004569</v>
      </c>
      <c r="C53" s="45">
        <f>IF(B53="","",$B$15*(B53-$B$14))</f>
        <v/>
      </c>
      <c r="D53" s="46">
        <f>IF(OR(A53="",C53="",D52="",C52=""),"",D52+(C52+C53)/2*(A53-A52)*60)</f>
        <v/>
      </c>
      <c r="E53" s="20">
        <f>IF(OR(D53="",$B$18=""),"",D53/$B$18)</f>
        <v/>
      </c>
      <c r="F53" s="29">
        <f>IF(OR(C53="",$B$18=""),"",C53*60/$B$18)</f>
        <v/>
      </c>
    </row>
    <row r="54">
      <c r="A54" s="26" t="n">
        <v>81</v>
      </c>
      <c r="B54" s="44" t="n">
        <v>0.004385</v>
      </c>
      <c r="C54" s="45">
        <f>IF(B54="","",$B$15*(B54-$B$14))</f>
        <v/>
      </c>
      <c r="D54" s="46">
        <f>IF(OR(A54="",C54="",D53="",C53=""),"",D53+(C53+C54)/2*(A54-A53)*60)</f>
        <v/>
      </c>
      <c r="E54" s="20">
        <f>IF(OR(D54="",$B$18=""),"",D54/$B$18)</f>
        <v/>
      </c>
      <c r="F54" s="29">
        <f>IF(OR(C54="",$B$18=""),"",C54*60/$B$18)</f>
        <v/>
      </c>
    </row>
    <row r="55">
      <c r="A55" s="26" t="n">
        <v>84</v>
      </c>
      <c r="B55" s="44" t="n">
        <v>0.004213</v>
      </c>
      <c r="C55" s="45">
        <f>IF(B55="","",$B$15*(B55-$B$14))</f>
        <v/>
      </c>
      <c r="D55" s="46">
        <f>IF(OR(A55="",C55="",D54="",C54=""),"",D54+(C54+C55)/2*(A55-A54)*60)</f>
        <v/>
      </c>
      <c r="E55" s="20">
        <f>IF(OR(D55="",$B$18=""),"",D55/$B$18)</f>
        <v/>
      </c>
      <c r="F55" s="29">
        <f>IF(OR(C55="",$B$18=""),"",C55*60/$B$18)</f>
        <v/>
      </c>
    </row>
    <row r="56">
      <c r="A56" s="26" t="n">
        <v>87</v>
      </c>
      <c r="B56" s="44" t="n">
        <v>0.004052</v>
      </c>
      <c r="C56" s="45">
        <f>IF(B56="","",$B$15*(B56-$B$14))</f>
        <v/>
      </c>
      <c r="D56" s="46">
        <f>IF(OR(A56="",C56="",D55="",C55=""),"",D55+(C55+C56)/2*(A56-A55)*60)</f>
        <v/>
      </c>
      <c r="E56" s="20">
        <f>IF(OR(D56="",$B$18=""),"",D56/$B$18)</f>
        <v/>
      </c>
      <c r="F56" s="29">
        <f>IF(OR(C56="",$B$18=""),"",C56*60/$B$18)</f>
        <v/>
      </c>
    </row>
    <row r="57">
      <c r="A57" s="26" t="n">
        <v>90</v>
      </c>
      <c r="B57" s="44" t="n">
        <v>0.003901</v>
      </c>
      <c r="C57" s="45">
        <f>IF(B57="","",$B$15*(B57-$B$14))</f>
        <v/>
      </c>
      <c r="D57" s="46">
        <f>IF(OR(A57="",C57="",D56="",C56=""),"",D56+(C56+C57)/2*(A57-A56)*60)</f>
        <v/>
      </c>
      <c r="E57" s="20">
        <f>IF(OR(D57="",$B$18=""),"",D57/$B$18)</f>
        <v/>
      </c>
      <c r="F57" s="29">
        <f>IF(OR(C57="",$B$18=""),"",C57*60/$B$18)</f>
        <v/>
      </c>
    </row>
    <row r="58">
      <c r="A58" s="26" t="n">
        <v>93</v>
      </c>
      <c r="B58" s="44" t="n">
        <v>0.00376</v>
      </c>
      <c r="C58" s="45">
        <f>IF(B58="","",$B$15*(B58-$B$14))</f>
        <v/>
      </c>
      <c r="D58" s="46">
        <f>IF(OR(A58="",C58="",D57="",C57=""),"",D57+(C57+C58)/2*(A58-A57)*60)</f>
        <v/>
      </c>
      <c r="E58" s="20">
        <f>IF(OR(D58="",$B$18=""),"",D58/$B$18)</f>
        <v/>
      </c>
      <c r="F58" s="29">
        <f>IF(OR(C58="",$B$18=""),"",C58*60/$B$18)</f>
        <v/>
      </c>
    </row>
    <row r="59">
      <c r="A59" s="26" t="n">
        <v>96</v>
      </c>
      <c r="B59" s="44" t="n">
        <v>0.003628</v>
      </c>
      <c r="C59" s="45">
        <f>IF(B59="","",$B$15*(B59-$B$14))</f>
        <v/>
      </c>
      <c r="D59" s="46">
        <f>IF(OR(A59="",C59="",D58="",C58=""),"",D58+(C58+C59)/2*(A59-A58)*60)</f>
        <v/>
      </c>
      <c r="E59" s="20">
        <f>IF(OR(D59="",$B$18=""),"",D59/$B$18)</f>
        <v/>
      </c>
      <c r="F59" s="29">
        <f>IF(OR(C59="",$B$18=""),"",C59*60/$B$18)</f>
        <v/>
      </c>
    </row>
    <row r="60">
      <c r="A60" s="26" t="n">
        <v>99</v>
      </c>
      <c r="B60" s="44" t="n">
        <v>0.003503</v>
      </c>
      <c r="C60" s="45">
        <f>IF(B60="","",$B$15*(B60-$B$14))</f>
        <v/>
      </c>
      <c r="D60" s="46">
        <f>IF(OR(A60="",C60="",D59="",C59=""),"",D59+(C59+C60)/2*(A60-A59)*60)</f>
        <v/>
      </c>
      <c r="E60" s="20">
        <f>IF(OR(D60="",$B$18=""),"",D60/$B$18)</f>
        <v/>
      </c>
      <c r="F60" s="29">
        <f>IF(OR(C60="",$B$18=""),"",C60*60/$B$18)</f>
        <v/>
      </c>
    </row>
    <row r="61">
      <c r="A61" s="26" t="n">
        <v>102</v>
      </c>
      <c r="B61" s="44" t="n">
        <v>0.003386</v>
      </c>
      <c r="C61" s="45">
        <f>IF(B61="","",$B$15*(B61-$B$14))</f>
        <v/>
      </c>
      <c r="D61" s="46">
        <f>IF(OR(A61="",C61="",D60="",C60=""),"",D60+(C60+C61)/2*(A61-A60)*60)</f>
        <v/>
      </c>
      <c r="E61" s="20">
        <f>IF(OR(D61="",$B$18=""),"",D61/$B$18)</f>
        <v/>
      </c>
      <c r="F61" s="29">
        <f>IF(OR(C61="",$B$18=""),"",C61*60/$B$18)</f>
        <v/>
      </c>
    </row>
    <row r="62">
      <c r="A62" s="26" t="n">
        <v>105</v>
      </c>
      <c r="B62" s="44" t="n">
        <v>0.003275</v>
      </c>
      <c r="C62" s="45">
        <f>IF(B62="","",$B$15*(B62-$B$14))</f>
        <v/>
      </c>
      <c r="D62" s="46">
        <f>IF(OR(A62="",C62="",D61="",C61=""),"",D61+(C61+C62)/2*(A62-A61)*60)</f>
        <v/>
      </c>
      <c r="E62" s="20">
        <f>IF(OR(D62="",$B$18=""),"",D62/$B$18)</f>
        <v/>
      </c>
      <c r="F62" s="29">
        <f>IF(OR(C62="",$B$18=""),"",C62*60/$B$18)</f>
        <v/>
      </c>
    </row>
    <row r="63">
      <c r="A63" s="26" t="n">
        <v>108</v>
      </c>
      <c r="B63" s="44" t="n">
        <v>0.003171</v>
      </c>
      <c r="C63" s="45">
        <f>IF(B63="","",$B$15*(B63-$B$14))</f>
        <v/>
      </c>
      <c r="D63" s="46">
        <f>IF(OR(A63="",C63="",D62="",C62=""),"",D62+(C62+C63)/2*(A63-A62)*60)</f>
        <v/>
      </c>
      <c r="E63" s="20">
        <f>IF(OR(D63="",$B$18=""),"",D63/$B$18)</f>
        <v/>
      </c>
      <c r="F63" s="29">
        <f>IF(OR(C63="",$B$18=""),"",C63*60/$B$18)</f>
        <v/>
      </c>
    </row>
    <row r="64">
      <c r="A64" s="26" t="n">
        <v>111</v>
      </c>
      <c r="B64" s="44" t="n">
        <v>0.003072</v>
      </c>
      <c r="C64" s="45">
        <f>IF(B64="","",$B$15*(B64-$B$14))</f>
        <v/>
      </c>
      <c r="D64" s="46">
        <f>IF(OR(A64="",C64="",D63="",C63=""),"",D63+(C63+C64)/2*(A64-A63)*60)</f>
        <v/>
      </c>
      <c r="E64" s="20">
        <f>IF(OR(D64="",$B$18=""),"",D64/$B$18)</f>
        <v/>
      </c>
      <c r="F64" s="29">
        <f>IF(OR(C64="",$B$18=""),"",C64*60/$B$18)</f>
        <v/>
      </c>
    </row>
    <row r="65">
      <c r="A65" s="26" t="n">
        <v>114</v>
      </c>
      <c r="B65" s="44" t="n">
        <v>0.002979</v>
      </c>
      <c r="C65" s="45">
        <f>IF(B65="","",$B$15*(B65-$B$14))</f>
        <v/>
      </c>
      <c r="D65" s="46">
        <f>IF(OR(A65="",C65="",D64="",C64=""),"",D64+(C64+C65)/2*(A65-A64)*60)</f>
        <v/>
      </c>
      <c r="E65" s="20">
        <f>IF(OR(D65="",$B$18=""),"",D65/$B$18)</f>
        <v/>
      </c>
      <c r="F65" s="29">
        <f>IF(OR(C65="",$B$18=""),"",C65*60/$B$18)</f>
        <v/>
      </c>
    </row>
    <row r="66">
      <c r="A66" s="26" t="n">
        <v>117</v>
      </c>
      <c r="B66" s="44" t="n">
        <v>0.00289</v>
      </c>
      <c r="C66" s="45">
        <f>IF(B66="","",$B$15*(B66-$B$14))</f>
        <v/>
      </c>
      <c r="D66" s="46">
        <f>IF(OR(A66="",C66="",D65="",C65=""),"",D65+(C65+C66)/2*(A66-A65)*60)</f>
        <v/>
      </c>
      <c r="E66" s="20">
        <f>IF(OR(D66="",$B$18=""),"",D66/$B$18)</f>
        <v/>
      </c>
      <c r="F66" s="29">
        <f>IF(OR(C66="",$B$18=""),"",C66*60/$B$18)</f>
        <v/>
      </c>
    </row>
    <row r="67">
      <c r="A67" s="26" t="n">
        <v>120</v>
      </c>
      <c r="B67" s="44" t="n">
        <v>0.002807</v>
      </c>
      <c r="C67" s="45">
        <f>IF(B67="","",$B$15*(B67-$B$14))</f>
        <v/>
      </c>
      <c r="D67" s="46">
        <f>IF(OR(A67="",C67="",D66="",C66=""),"",D66+(C66+C67)/2*(A67-A66)*60)</f>
        <v/>
      </c>
      <c r="E67" s="20">
        <f>IF(OR(D67="",$B$18=""),"",D67/$B$18)</f>
        <v/>
      </c>
      <c r="F67" s="29">
        <f>IF(OR(C67="",$B$18=""),"",C67*60/$B$18)</f>
        <v/>
      </c>
    </row>
    <row r="68">
      <c r="A68" s="26" t="n">
        <v>123</v>
      </c>
      <c r="B68" s="44" t="n">
        <v>0.002727</v>
      </c>
      <c r="C68" s="45">
        <f>IF(B68="","",$B$15*(B68-$B$14))</f>
        <v/>
      </c>
      <c r="D68" s="46">
        <f>IF(OR(A68="",C68="",D67="",C67=""),"",D67+(C67+C68)/2*(A68-A67)*60)</f>
        <v/>
      </c>
      <c r="E68" s="20">
        <f>IF(OR(D68="",$B$18=""),"",D68/$B$18)</f>
        <v/>
      </c>
      <c r="F68" s="29">
        <f>IF(OR(C68="",$B$18=""),"",C68*60/$B$18)</f>
        <v/>
      </c>
    </row>
    <row r="69">
      <c r="A69" s="26" t="n">
        <v>126</v>
      </c>
      <c r="B69" s="44" t="n">
        <v>0.002652</v>
      </c>
      <c r="C69" s="45">
        <f>IF(B69="","",$B$15*(B69-$B$14))</f>
        <v/>
      </c>
      <c r="D69" s="46">
        <f>IF(OR(A69="",C69="",D68="",C68=""),"",D68+(C68+C69)/2*(A69-A68)*60)</f>
        <v/>
      </c>
      <c r="E69" s="20">
        <f>IF(OR(D69="",$B$18=""),"",D69/$B$18)</f>
        <v/>
      </c>
      <c r="F69" s="29">
        <f>IF(OR(C69="",$B$18=""),"",C69*60/$B$18)</f>
        <v/>
      </c>
    </row>
    <row r="70">
      <c r="A70" s="26" t="n">
        <v>129</v>
      </c>
      <c r="B70" s="44" t="n">
        <v>0.002581</v>
      </c>
      <c r="C70" s="45">
        <f>IF(B70="","",$B$15*(B70-$B$14))</f>
        <v/>
      </c>
      <c r="D70" s="46">
        <f>IF(OR(A70="",C70="",D69="",C69=""),"",D69+(C69+C70)/2*(A70-A69)*60)</f>
        <v/>
      </c>
      <c r="E70" s="20">
        <f>IF(OR(D70="",$B$18=""),"",D70/$B$18)</f>
        <v/>
      </c>
      <c r="F70" s="29">
        <f>IF(OR(C70="",$B$18=""),"",C70*60/$B$18)</f>
        <v/>
      </c>
    </row>
    <row r="71">
      <c r="A71" s="26" t="n">
        <v>132</v>
      </c>
      <c r="B71" s="44" t="n">
        <v>0.002513</v>
      </c>
      <c r="C71" s="45">
        <f>IF(B71="","",$B$15*(B71-$B$14))</f>
        <v/>
      </c>
      <c r="D71" s="46">
        <f>IF(OR(A71="",C71="",D70="",C70=""),"",D70+(C70+C71)/2*(A71-A70)*60)</f>
        <v/>
      </c>
      <c r="E71" s="20">
        <f>IF(OR(D71="",$B$18=""),"",D71/$B$18)</f>
        <v/>
      </c>
      <c r="F71" s="29">
        <f>IF(OR(C71="",$B$18=""),"",C71*60/$B$18)</f>
        <v/>
      </c>
    </row>
    <row r="72">
      <c r="A72" s="26" t="n">
        <v>135</v>
      </c>
      <c r="B72" s="44" t="n">
        <v>0.002448</v>
      </c>
      <c r="C72" s="45">
        <f>IF(B72="","",$B$15*(B72-$B$14))</f>
        <v/>
      </c>
      <c r="D72" s="46">
        <f>IF(OR(A72="",C72="",D71="",C71=""),"",D71+(C71+C72)/2*(A72-A71)*60)</f>
        <v/>
      </c>
      <c r="E72" s="20">
        <f>IF(OR(D72="",$B$18=""),"",D72/$B$18)</f>
        <v/>
      </c>
      <c r="F72" s="29">
        <f>IF(OR(C72="",$B$18=""),"",C72*60/$B$18)</f>
        <v/>
      </c>
    </row>
    <row r="73">
      <c r="A73" s="26" t="n">
        <v>138</v>
      </c>
      <c r="B73" s="44" t="n">
        <v>0.002386</v>
      </c>
      <c r="C73" s="45">
        <f>IF(B73="","",$B$15*(B73-$B$14))</f>
        <v/>
      </c>
      <c r="D73" s="46">
        <f>IF(OR(A73="",C73="",D72="",C72=""),"",D72+(C72+C73)/2*(A73-A72)*60)</f>
        <v/>
      </c>
      <c r="E73" s="20">
        <f>IF(OR(D73="",$B$18=""),"",D73/$B$18)</f>
        <v/>
      </c>
      <c r="F73" s="29">
        <f>IF(OR(C73="",$B$18=""),"",C73*60/$B$18)</f>
        <v/>
      </c>
    </row>
    <row r="74">
      <c r="A74" s="26" t="n">
        <v>141</v>
      </c>
      <c r="B74" s="44" t="n">
        <v>0.002327</v>
      </c>
      <c r="C74" s="45">
        <f>IF(B74="","",$B$15*(B74-$B$14))</f>
        <v/>
      </c>
      <c r="D74" s="46">
        <f>IF(OR(A74="",C74="",D73="",C73=""),"",D73+(C73+C74)/2*(A74-A73)*60)</f>
        <v/>
      </c>
      <c r="E74" s="20">
        <f>IF(OR(D74="",$B$18=""),"",D74/$B$18)</f>
        <v/>
      </c>
      <c r="F74" s="29">
        <f>IF(OR(C74="",$B$18=""),"",C74*60/$B$18)</f>
        <v/>
      </c>
    </row>
    <row r="75">
      <c r="A75" s="26" t="n">
        <v>144</v>
      </c>
      <c r="B75" s="44" t="n">
        <v>0.002271</v>
      </c>
      <c r="C75" s="45">
        <f>IF(B75="","",$B$15*(B75-$B$14))</f>
        <v/>
      </c>
      <c r="D75" s="46">
        <f>IF(OR(A75="",C75="",D74="",C74=""),"",D74+(C74+C75)/2*(A75-A74)*60)</f>
        <v/>
      </c>
      <c r="E75" s="20">
        <f>IF(OR(D75="",$B$18=""),"",D75/$B$18)</f>
        <v/>
      </c>
      <c r="F75" s="29">
        <f>IF(OR(C75="",$B$18=""),"",C75*60/$B$18)</f>
        <v/>
      </c>
    </row>
    <row r="76">
      <c r="A76" s="26" t="n">
        <v>147</v>
      </c>
      <c r="B76" s="44" t="n">
        <v>0.002218</v>
      </c>
      <c r="C76" s="45">
        <f>IF(B76="","",$B$15*(B76-$B$14))</f>
        <v/>
      </c>
      <c r="D76" s="46">
        <f>IF(OR(A76="",C76="",D75="",C75=""),"",D75+(C75+C76)/2*(A76-A75)*60)</f>
        <v/>
      </c>
      <c r="E76" s="20">
        <f>IF(OR(D76="",$B$18=""),"",D76/$B$18)</f>
        <v/>
      </c>
      <c r="F76" s="29">
        <f>IF(OR(C76="",$B$18=""),"",C76*60/$B$18)</f>
        <v/>
      </c>
    </row>
    <row r="77">
      <c r="A77" s="26" t="n">
        <v>150</v>
      </c>
      <c r="B77" s="44" t="n">
        <v>0.002167</v>
      </c>
      <c r="C77" s="45">
        <f>IF(B77="","",$B$15*(B77-$B$14))</f>
        <v/>
      </c>
      <c r="D77" s="46">
        <f>IF(OR(A77="",C77="",D76="",C76=""),"",D76+(C76+C77)/2*(A77-A76)*60)</f>
        <v/>
      </c>
      <c r="E77" s="20">
        <f>IF(OR(D77="",$B$18=""),"",D77/$B$18)</f>
        <v/>
      </c>
      <c r="F77" s="29">
        <f>IF(OR(C77="",$B$18=""),"",C77*60/$B$18)</f>
        <v/>
      </c>
    </row>
    <row r="78">
      <c r="A78" s="26" t="n">
        <v>153</v>
      </c>
      <c r="B78" s="44" t="n">
        <v>0.002118</v>
      </c>
      <c r="C78" s="45">
        <f>IF(B78="","",$B$15*(B78-$B$14))</f>
        <v/>
      </c>
      <c r="D78" s="46">
        <f>IF(OR(A78="",C78="",D77="",C77=""),"",D77+(C77+C78)/2*(A78-A77)*60)</f>
        <v/>
      </c>
      <c r="E78" s="20">
        <f>IF(OR(D78="",$B$18=""),"",D78/$B$18)</f>
        <v/>
      </c>
      <c r="F78" s="29">
        <f>IF(OR(C78="",$B$18=""),"",C78*60/$B$18)</f>
        <v/>
      </c>
    </row>
    <row r="79">
      <c r="A79" s="26" t="n">
        <v>156</v>
      </c>
      <c r="B79" s="44" t="n">
        <v>0.002071</v>
      </c>
      <c r="C79" s="45">
        <f>IF(B79="","",$B$15*(B79-$B$14))</f>
        <v/>
      </c>
      <c r="D79" s="46">
        <f>IF(OR(A79="",C79="",D78="",C78=""),"",D78+(C78+C79)/2*(A79-A78)*60)</f>
        <v/>
      </c>
      <c r="E79" s="20">
        <f>IF(OR(D79="",$B$18=""),"",D79/$B$18)</f>
        <v/>
      </c>
      <c r="F79" s="29">
        <f>IF(OR(C79="",$B$18=""),"",C79*60/$B$18)</f>
        <v/>
      </c>
    </row>
    <row r="80">
      <c r="A80" s="26" t="n">
        <v>159</v>
      </c>
      <c r="B80" s="44" t="n">
        <v>0.002026</v>
      </c>
      <c r="C80" s="45">
        <f>IF(B80="","",$B$15*(B80-$B$14))</f>
        <v/>
      </c>
      <c r="D80" s="46">
        <f>IF(OR(A80="",C80="",D79="",C79=""),"",D79+(C79+C80)/2*(A80-A79)*60)</f>
        <v/>
      </c>
      <c r="E80" s="20">
        <f>IF(OR(D80="",$B$18=""),"",D80/$B$18)</f>
        <v/>
      </c>
      <c r="F80" s="29">
        <f>IF(OR(C80="",$B$18=""),"",C80*60/$B$18)</f>
        <v/>
      </c>
    </row>
    <row r="81">
      <c r="A81" s="26" t="n">
        <v>162</v>
      </c>
      <c r="B81" s="44" t="n">
        <v>0.001983</v>
      </c>
      <c r="C81" s="45">
        <f>IF(B81="","",$B$15*(B81-$B$14))</f>
        <v/>
      </c>
      <c r="D81" s="46">
        <f>IF(OR(A81="",C81="",D80="",C80=""),"",D80+(C80+C81)/2*(A81-A80)*60)</f>
        <v/>
      </c>
      <c r="E81" s="20">
        <f>IF(OR(D81="",$B$18=""),"",D81/$B$18)</f>
        <v/>
      </c>
      <c r="F81" s="29">
        <f>IF(OR(C81="",$B$18=""),"",C81*60/$B$18)</f>
        <v/>
      </c>
    </row>
    <row r="82">
      <c r="A82" s="26" t="n">
        <v>165</v>
      </c>
      <c r="B82" s="44" t="n">
        <v>0.001942</v>
      </c>
      <c r="C82" s="45">
        <f>IF(B82="","",$B$15*(B82-$B$14))</f>
        <v/>
      </c>
      <c r="D82" s="46">
        <f>IF(OR(A82="",C82="",D81="",C81=""),"",D81+(C81+C82)/2*(A82-A81)*60)</f>
        <v/>
      </c>
      <c r="E82" s="20">
        <f>IF(OR(D82="",$B$18=""),"",D82/$B$18)</f>
        <v/>
      </c>
      <c r="F82" s="29">
        <f>IF(OR(C82="",$B$18=""),"",C82*60/$B$18)</f>
        <v/>
      </c>
    </row>
    <row r="83">
      <c r="A83" s="26" t="n">
        <v>168</v>
      </c>
      <c r="B83" s="44" t="n">
        <v>0.001903</v>
      </c>
      <c r="C83" s="45">
        <f>IF(B83="","",$B$15*(B83-$B$14))</f>
        <v/>
      </c>
      <c r="D83" s="46">
        <f>IF(OR(A83="",C83="",D82="",C82=""),"",D82+(C82+C83)/2*(A83-A82)*60)</f>
        <v/>
      </c>
      <c r="E83" s="20">
        <f>IF(OR(D83="",$B$18=""),"",D83/$B$18)</f>
        <v/>
      </c>
      <c r="F83" s="29">
        <f>IF(OR(C83="",$B$18=""),"",C83*60/$B$18)</f>
        <v/>
      </c>
    </row>
    <row r="84">
      <c r="A84" s="26" t="n">
        <v>171</v>
      </c>
      <c r="B84" s="44" t="n">
        <v>0.001865</v>
      </c>
      <c r="C84" s="45">
        <f>IF(B84="","",$B$15*(B84-$B$14))</f>
        <v/>
      </c>
      <c r="D84" s="46">
        <f>IF(OR(A84="",C84="",D83="",C83=""),"",D83+(C83+C84)/2*(A84-A83)*60)</f>
        <v/>
      </c>
      <c r="E84" s="20">
        <f>IF(OR(D84="",$B$18=""),"",D84/$B$18)</f>
        <v/>
      </c>
      <c r="F84" s="29">
        <f>IF(OR(C84="",$B$18=""),"",C84*60/$B$18)</f>
        <v/>
      </c>
    </row>
    <row r="85">
      <c r="A85" s="26" t="n">
        <v>174</v>
      </c>
      <c r="B85" s="44" t="n">
        <v>0.001829</v>
      </c>
      <c r="C85" s="45">
        <f>IF(B85="","",$B$15*(B85-$B$14))</f>
        <v/>
      </c>
      <c r="D85" s="46">
        <f>IF(OR(A85="",C85="",D84="",C84=""),"",D84+(C84+C85)/2*(A85-A84)*60)</f>
        <v/>
      </c>
      <c r="E85" s="20">
        <f>IF(OR(D85="",$B$18=""),"",D85/$B$18)</f>
        <v/>
      </c>
      <c r="F85" s="29">
        <f>IF(OR(C85="",$B$18=""),"",C85*60/$B$18)</f>
        <v/>
      </c>
    </row>
    <row r="86">
      <c r="A86" s="26" t="n">
        <v>177</v>
      </c>
      <c r="B86" s="44" t="n">
        <v>0.001794</v>
      </c>
      <c r="C86" s="45">
        <f>IF(B86="","",$B$15*(B86-$B$14))</f>
        <v/>
      </c>
      <c r="D86" s="46">
        <f>IF(OR(A86="",C86="",D85="",C85=""),"",D85+(C85+C86)/2*(A86-A85)*60)</f>
        <v/>
      </c>
      <c r="E86" s="20">
        <f>IF(OR(D86="",$B$18=""),"",D86/$B$18)</f>
        <v/>
      </c>
      <c r="F86" s="29">
        <f>IF(OR(C86="",$B$18=""),"",C86*60/$B$18)</f>
        <v/>
      </c>
    </row>
    <row r="87">
      <c r="A87" s="26" t="n">
        <v>180</v>
      </c>
      <c r="B87" s="44" t="n">
        <v>0.00176</v>
      </c>
      <c r="C87" s="45">
        <f>IF(B87="","",$B$15*(B87-$B$14))</f>
        <v/>
      </c>
      <c r="D87" s="46">
        <f>IF(OR(A87="",C87="",D86="",C86=""),"",D86+(C86+C87)/2*(A87-A86)*60)</f>
        <v/>
      </c>
      <c r="E87" s="20">
        <f>IF(OR(D87="",$B$18=""),"",D87/$B$18)</f>
        <v/>
      </c>
      <c r="F87" s="29">
        <f>IF(OR(C87="",$B$18=""),"",C87*60/$B$18)</f>
        <v/>
      </c>
    </row>
    <row r="88">
      <c r="A88" s="26" t="n">
        <v>183</v>
      </c>
      <c r="B88" s="44" t="n">
        <v>0.001728</v>
      </c>
      <c r="C88" s="45">
        <f>IF(B88="","",$B$15*(B88-$B$14))</f>
        <v/>
      </c>
      <c r="D88" s="46">
        <f>IF(OR(A88="",C88="",D87="",C87=""),"",D87+(C87+C88)/2*(A88-A87)*60)</f>
        <v/>
      </c>
      <c r="E88" s="20">
        <f>IF(OR(D88="",$B$18=""),"",D88/$B$18)</f>
        <v/>
      </c>
      <c r="F88" s="29">
        <f>IF(OR(C88="",$B$18=""),"",C88*60/$B$18)</f>
        <v/>
      </c>
    </row>
    <row r="89">
      <c r="A89" s="26" t="n">
        <v>186</v>
      </c>
      <c r="B89" s="44" t="n">
        <v>0.001697</v>
      </c>
      <c r="C89" s="45">
        <f>IF(B89="","",$B$15*(B89-$B$14))</f>
        <v/>
      </c>
      <c r="D89" s="46">
        <f>IF(OR(A89="",C89="",D88="",C88=""),"",D88+(C88+C89)/2*(A89-A88)*60)</f>
        <v/>
      </c>
      <c r="E89" s="20">
        <f>IF(OR(D89="",$B$18=""),"",D89/$B$18)</f>
        <v/>
      </c>
      <c r="F89" s="29">
        <f>IF(OR(C89="",$B$18=""),"",C89*60/$B$18)</f>
        <v/>
      </c>
    </row>
    <row r="90">
      <c r="A90" s="26" t="n">
        <v>189</v>
      </c>
      <c r="B90" s="44" t="n">
        <v>0.001667</v>
      </c>
      <c r="C90" s="45">
        <f>IF(B90="","",$B$15*(B90-$B$14))</f>
        <v/>
      </c>
      <c r="D90" s="46">
        <f>IF(OR(A90="",C90="",D89="",C89=""),"",D89+(C89+C90)/2*(A90-A89)*60)</f>
        <v/>
      </c>
      <c r="E90" s="20">
        <f>IF(OR(D90="",$B$18=""),"",D90/$B$18)</f>
        <v/>
      </c>
      <c r="F90" s="29">
        <f>IF(OR(C90="",$B$18=""),"",C90*60/$B$18)</f>
        <v/>
      </c>
    </row>
    <row r="91">
      <c r="A91" s="26" t="n">
        <v>192</v>
      </c>
      <c r="B91" s="44" t="n">
        <v>0.001638</v>
      </c>
      <c r="C91" s="45">
        <f>IF(B91="","",$B$15*(B91-$B$14))</f>
        <v/>
      </c>
      <c r="D91" s="46">
        <f>IF(OR(A91="",C91="",D90="",C90=""),"",D90+(C90+C91)/2*(A91-A90)*60)</f>
        <v/>
      </c>
      <c r="E91" s="20">
        <f>IF(OR(D91="",$B$18=""),"",D91/$B$18)</f>
        <v/>
      </c>
      <c r="F91" s="29">
        <f>IF(OR(C91="",$B$18=""),"",C91*60/$B$18)</f>
        <v/>
      </c>
    </row>
    <row r="92">
      <c r="A92" s="26" t="n">
        <v>195</v>
      </c>
      <c r="B92" s="44" t="n">
        <v>0.001611</v>
      </c>
      <c r="C92" s="45">
        <f>IF(B92="","",$B$15*(B92-$B$14))</f>
        <v/>
      </c>
      <c r="D92" s="46">
        <f>IF(OR(A92="",C92="",D91="",C91=""),"",D91+(C91+C92)/2*(A92-A91)*60)</f>
        <v/>
      </c>
      <c r="E92" s="20">
        <f>IF(OR(D92="",$B$18=""),"",D92/$B$18)</f>
        <v/>
      </c>
      <c r="F92" s="29">
        <f>IF(OR(C92="",$B$18=""),"",C92*60/$B$18)</f>
        <v/>
      </c>
    </row>
    <row r="93">
      <c r="A93" s="26" t="n">
        <v>198</v>
      </c>
      <c r="B93" s="44" t="n">
        <v>0.001584</v>
      </c>
      <c r="C93" s="45">
        <f>IF(B93="","",$B$15*(B93-$B$14))</f>
        <v/>
      </c>
      <c r="D93" s="46">
        <f>IF(OR(A93="",C93="",D92="",C92=""),"",D92+(C92+C93)/2*(A93-A92)*60)</f>
        <v/>
      </c>
      <c r="E93" s="20">
        <f>IF(OR(D93="",$B$18=""),"",D93/$B$18)</f>
        <v/>
      </c>
      <c r="F93" s="29">
        <f>IF(OR(C93="",$B$18=""),"",C93*60/$B$18)</f>
        <v/>
      </c>
    </row>
    <row r="94">
      <c r="A94" s="26" t="n">
        <v>201</v>
      </c>
      <c r="B94" s="44" t="n">
        <v>0.001558</v>
      </c>
      <c r="C94" s="45">
        <f>IF(B94="","",$B$15*(B94-$B$14))</f>
        <v/>
      </c>
      <c r="D94" s="46">
        <f>IF(OR(A94="",C94="",D93="",C93=""),"",D93+(C93+C94)/2*(A94-A93)*60)</f>
        <v/>
      </c>
      <c r="E94" s="20">
        <f>IF(OR(D94="",$B$18=""),"",D94/$B$18)</f>
        <v/>
      </c>
      <c r="F94" s="29">
        <f>IF(OR(C94="",$B$18=""),"",C94*60/$B$18)</f>
        <v/>
      </c>
    </row>
    <row r="95">
      <c r="A95" s="26" t="n">
        <v>204</v>
      </c>
      <c r="B95" s="44" t="n">
        <v>0.001533</v>
      </c>
      <c r="C95" s="45">
        <f>IF(B95="","",$B$15*(B95-$B$14))</f>
        <v/>
      </c>
      <c r="D95" s="46">
        <f>IF(OR(A95="",C95="",D94="",C94=""),"",D94+(C94+C95)/2*(A95-A94)*60)</f>
        <v/>
      </c>
      <c r="E95" s="20">
        <f>IF(OR(D95="",$B$18=""),"",D95/$B$18)</f>
        <v/>
      </c>
      <c r="F95" s="29">
        <f>IF(OR(C95="",$B$18=""),"",C95*60/$B$18)</f>
        <v/>
      </c>
    </row>
    <row r="96">
      <c r="A96" s="26" t="n">
        <v>207</v>
      </c>
      <c r="B96" s="44" t="n">
        <v>0.001509</v>
      </c>
      <c r="C96" s="45">
        <f>IF(B96="","",$B$15*(B96-$B$14))</f>
        <v/>
      </c>
      <c r="D96" s="46">
        <f>IF(OR(A96="",C96="",D95="",C95=""),"",D95+(C95+C96)/2*(A96-A95)*60)</f>
        <v/>
      </c>
      <c r="E96" s="20">
        <f>IF(OR(D96="",$B$18=""),"",D96/$B$18)</f>
        <v/>
      </c>
      <c r="F96" s="29">
        <f>IF(OR(C96="",$B$18=""),"",C96*60/$B$18)</f>
        <v/>
      </c>
    </row>
    <row r="97">
      <c r="A97" s="26" t="n">
        <v>210</v>
      </c>
      <c r="B97" s="44" t="n">
        <v>0.001486</v>
      </c>
      <c r="C97" s="45">
        <f>IF(B97="","",$B$15*(B97-$B$14))</f>
        <v/>
      </c>
      <c r="D97" s="46">
        <f>IF(OR(A97="",C97="",D96="",C96=""),"",D96+(C96+C97)/2*(A97-A96)*60)</f>
        <v/>
      </c>
      <c r="E97" s="20">
        <f>IF(OR(D97="",$B$18=""),"",D97/$B$18)</f>
        <v/>
      </c>
      <c r="F97" s="29">
        <f>IF(OR(C97="",$B$18=""),"",C97*60/$B$18)</f>
        <v/>
      </c>
    </row>
    <row r="98">
      <c r="A98" s="26" t="n">
        <v>213</v>
      </c>
      <c r="B98" s="44" t="n">
        <v>0.001464</v>
      </c>
      <c r="C98" s="45">
        <f>IF(B98="","",$B$15*(B98-$B$14))</f>
        <v/>
      </c>
      <c r="D98" s="46">
        <f>IF(OR(A98="",C98="",D97="",C97=""),"",D97+(C97+C98)/2*(A98-A97)*60)</f>
        <v/>
      </c>
      <c r="E98" s="20">
        <f>IF(OR(D98="",$B$18=""),"",D98/$B$18)</f>
        <v/>
      </c>
      <c r="F98" s="29">
        <f>IF(OR(C98="",$B$18=""),"",C98*60/$B$18)</f>
        <v/>
      </c>
    </row>
    <row r="99">
      <c r="A99" s="26" t="n">
        <v>216</v>
      </c>
      <c r="B99" s="44" t="n">
        <v>0.001442</v>
      </c>
      <c r="C99" s="45">
        <f>IF(B99="","",$B$15*(B99-$B$14))</f>
        <v/>
      </c>
      <c r="D99" s="46">
        <f>IF(OR(A99="",C99="",D98="",C98=""),"",D98+(C98+C99)/2*(A99-A98)*60)</f>
        <v/>
      </c>
      <c r="E99" s="20">
        <f>IF(OR(D99="",$B$18=""),"",D99/$B$18)</f>
        <v/>
      </c>
      <c r="F99" s="29">
        <f>IF(OR(C99="",$B$18=""),"",C99*60/$B$18)</f>
        <v/>
      </c>
    </row>
    <row r="100">
      <c r="A100" s="26" t="n">
        <v>219</v>
      </c>
      <c r="B100" s="44" t="n">
        <v>0.001421</v>
      </c>
      <c r="C100" s="45">
        <f>IF(B100="","",$B$15*(B100-$B$14))</f>
        <v/>
      </c>
      <c r="D100" s="46">
        <f>IF(OR(A100="",C100="",D99="",C99=""),"",D99+(C99+C100)/2*(A100-A99)*60)</f>
        <v/>
      </c>
      <c r="E100" s="20">
        <f>IF(OR(D100="",$B$18=""),"",D100/$B$18)</f>
        <v/>
      </c>
      <c r="F100" s="29">
        <f>IF(OR(C100="",$B$18=""),"",C100*60/$B$18)</f>
        <v/>
      </c>
    </row>
    <row r="101">
      <c r="A101" s="26" t="n">
        <v>222</v>
      </c>
      <c r="B101" s="44" t="n">
        <v>0.001401</v>
      </c>
      <c r="C101" s="45">
        <f>IF(B101="","",$B$15*(B101-$B$14))</f>
        <v/>
      </c>
      <c r="D101" s="46">
        <f>IF(OR(A101="",C101="",D100="",C100=""),"",D100+(C100+C101)/2*(A101-A100)*60)</f>
        <v/>
      </c>
      <c r="E101" s="20">
        <f>IF(OR(D101="",$B$18=""),"",D101/$B$18)</f>
        <v/>
      </c>
      <c r="F101" s="29">
        <f>IF(OR(C101="",$B$18=""),"",C101*60/$B$18)</f>
        <v/>
      </c>
    </row>
    <row r="102">
      <c r="A102" s="26" t="n">
        <v>225</v>
      </c>
      <c r="B102" s="44" t="n">
        <v>0.001382</v>
      </c>
      <c r="C102" s="45">
        <f>IF(B102="","",$B$15*(B102-$B$14))</f>
        <v/>
      </c>
      <c r="D102" s="46">
        <f>IF(OR(A102="",C102="",D101="",C101=""),"",D101+(C101+C102)/2*(A102-A101)*60)</f>
        <v/>
      </c>
      <c r="E102" s="20">
        <f>IF(OR(D102="",$B$18=""),"",D102/$B$18)</f>
        <v/>
      </c>
      <c r="F102" s="29">
        <f>IF(OR(C102="",$B$18=""),"",C102*60/$B$18)</f>
        <v/>
      </c>
    </row>
    <row r="103">
      <c r="A103" s="26" t="n">
        <v>228</v>
      </c>
      <c r="B103" s="44" t="n">
        <v>0.001363</v>
      </c>
      <c r="C103" s="45">
        <f>IF(B103="","",$B$15*(B103-$B$14))</f>
        <v/>
      </c>
      <c r="D103" s="46">
        <f>IF(OR(A103="",C103="",D102="",C102=""),"",D102+(C102+C103)/2*(A103-A102)*60)</f>
        <v/>
      </c>
      <c r="E103" s="20">
        <f>IF(OR(D103="",$B$18=""),"",D103/$B$18)</f>
        <v/>
      </c>
      <c r="F103" s="29">
        <f>IF(OR(C103="",$B$18=""),"",C103*60/$B$18)</f>
        <v/>
      </c>
    </row>
    <row r="104">
      <c r="A104" s="26" t="n">
        <v>231</v>
      </c>
      <c r="B104" s="44" t="n">
        <v>0.001344</v>
      </c>
      <c r="C104" s="45">
        <f>IF(B104="","",$B$15*(B104-$B$14))</f>
        <v/>
      </c>
      <c r="D104" s="46">
        <f>IF(OR(A104="",C104="",D103="",C103=""),"",D103+(C103+C104)/2*(A104-A103)*60)</f>
        <v/>
      </c>
      <c r="E104" s="20">
        <f>IF(OR(D104="",$B$18=""),"",D104/$B$18)</f>
        <v/>
      </c>
      <c r="F104" s="29">
        <f>IF(OR(C104="",$B$18=""),"",C104*60/$B$18)</f>
        <v/>
      </c>
    </row>
    <row r="105">
      <c r="A105" s="26" t="n">
        <v>234</v>
      </c>
      <c r="B105" s="44" t="n">
        <v>0.001327</v>
      </c>
      <c r="C105" s="45">
        <f>IF(B105="","",$B$15*(B105-$B$14))</f>
        <v/>
      </c>
      <c r="D105" s="46">
        <f>IF(OR(A105="",C105="",D104="",C104=""),"",D104+(C104+C105)/2*(A105-A104)*60)</f>
        <v/>
      </c>
      <c r="E105" s="20">
        <f>IF(OR(D105="",$B$18=""),"",D105/$B$18)</f>
        <v/>
      </c>
      <c r="F105" s="29">
        <f>IF(OR(C105="",$B$18=""),"",C105*60/$B$18)</f>
        <v/>
      </c>
    </row>
    <row r="106">
      <c r="A106" s="26" t="n">
        <v>237</v>
      </c>
      <c r="B106" s="44" t="n">
        <v>0.001309</v>
      </c>
      <c r="C106" s="45">
        <f>IF(B106="","",$B$15*(B106-$B$14))</f>
        <v/>
      </c>
      <c r="D106" s="46">
        <f>IF(OR(A106="",C106="",D105="",C105=""),"",D105+(C105+C106)/2*(A106-A105)*60)</f>
        <v/>
      </c>
      <c r="E106" s="20">
        <f>IF(OR(D106="",$B$18=""),"",D106/$B$18)</f>
        <v/>
      </c>
      <c r="F106" s="29">
        <f>IF(OR(C106="",$B$18=""),"",C106*60/$B$18)</f>
        <v/>
      </c>
    </row>
    <row r="107">
      <c r="A107" s="26" t="n">
        <v>240</v>
      </c>
      <c r="B107" s="44" t="n">
        <v>0.001293</v>
      </c>
      <c r="C107" s="45">
        <f>IF(B107="","",$B$15*(B107-$B$14))</f>
        <v/>
      </c>
      <c r="D107" s="46">
        <f>IF(OR(A107="",C107="",D106="",C106=""),"",D106+(C106+C107)/2*(A107-A106)*60)</f>
        <v/>
      </c>
      <c r="E107" s="20">
        <f>IF(OR(D107="",$B$18=""),"",D107/$B$18)</f>
        <v/>
      </c>
      <c r="F107" s="29">
        <f>IF(OR(C107="",$B$18=""),"",C107*60/$B$18)</f>
        <v/>
      </c>
    </row>
    <row r="108">
      <c r="A108" s="26" t="n">
        <v>243</v>
      </c>
      <c r="B108" s="44" t="n">
        <v>0.001277</v>
      </c>
      <c r="C108" s="45">
        <f>IF(B108="","",$B$15*(B108-$B$14))</f>
        <v/>
      </c>
      <c r="D108" s="46">
        <f>IF(OR(A108="",C108="",D107="",C107=""),"",D107+(C107+C108)/2*(A108-A107)*60)</f>
        <v/>
      </c>
      <c r="E108" s="20">
        <f>IF(OR(D108="",$B$18=""),"",D108/$B$18)</f>
        <v/>
      </c>
      <c r="F108" s="29">
        <f>IF(OR(C108="",$B$18=""),"",C108*60/$B$18)</f>
        <v/>
      </c>
    </row>
    <row r="109">
      <c r="A109" s="26" t="n">
        <v>246</v>
      </c>
      <c r="B109" s="44" t="n">
        <v>0.001261</v>
      </c>
      <c r="C109" s="45">
        <f>IF(B109="","",$B$15*(B109-$B$14))</f>
        <v/>
      </c>
      <c r="D109" s="46">
        <f>IF(OR(A109="",C109="",D108="",C108=""),"",D108+(C108+C109)/2*(A109-A108)*60)</f>
        <v/>
      </c>
      <c r="E109" s="20">
        <f>IF(OR(D109="",$B$18=""),"",D109/$B$18)</f>
        <v/>
      </c>
      <c r="F109" s="29">
        <f>IF(OR(C109="",$B$18=""),"",C109*60/$B$18)</f>
        <v/>
      </c>
    </row>
    <row r="110">
      <c r="A110" s="26" t="n">
        <v>249</v>
      </c>
      <c r="B110" s="44" t="n">
        <v>0.001246</v>
      </c>
      <c r="C110" s="45">
        <f>IF(B110="","",$B$15*(B110-$B$14))</f>
        <v/>
      </c>
      <c r="D110" s="46">
        <f>IF(OR(A110="",C110="",D109="",C109=""),"",D109+(C109+C110)/2*(A110-A109)*60)</f>
        <v/>
      </c>
      <c r="E110" s="20">
        <f>IF(OR(D110="",$B$18=""),"",D110/$B$18)</f>
        <v/>
      </c>
      <c r="F110" s="29">
        <f>IF(OR(C110="",$B$18=""),"",C110*60/$B$18)</f>
        <v/>
      </c>
    </row>
    <row r="111">
      <c r="A111" s="26" t="n">
        <v>252</v>
      </c>
      <c r="B111" s="44" t="n">
        <v>0.001231</v>
      </c>
      <c r="C111" s="45">
        <f>IF(B111="","",$B$15*(B111-$B$14))</f>
        <v/>
      </c>
      <c r="D111" s="46">
        <f>IF(OR(A111="",C111="",D110="",C110=""),"",D110+(C110+C111)/2*(A111-A110)*60)</f>
        <v/>
      </c>
      <c r="E111" s="20">
        <f>IF(OR(D111="",$B$18=""),"",D111/$B$18)</f>
        <v/>
      </c>
      <c r="F111" s="29">
        <f>IF(OR(C111="",$B$18=""),"",C111*60/$B$18)</f>
        <v/>
      </c>
    </row>
    <row r="112">
      <c r="A112" s="26" t="n">
        <v>255</v>
      </c>
      <c r="B112" s="44" t="n">
        <v>0.001217</v>
      </c>
      <c r="C112" s="45">
        <f>IF(B112="","",$B$15*(B112-$B$14))</f>
        <v/>
      </c>
      <c r="D112" s="46">
        <f>IF(OR(A112="",C112="",D111="",C111=""),"",D111+(C111+C112)/2*(A112-A111)*60)</f>
        <v/>
      </c>
      <c r="E112" s="20">
        <f>IF(OR(D112="",$B$18=""),"",D112/$B$18)</f>
        <v/>
      </c>
      <c r="F112" s="29">
        <f>IF(OR(C112="",$B$18=""),"",C112*60/$B$18)</f>
        <v/>
      </c>
    </row>
    <row r="113">
      <c r="A113" s="26" t="n">
        <v>258</v>
      </c>
      <c r="B113" s="44" t="n">
        <v>0.001203</v>
      </c>
      <c r="C113" s="45">
        <f>IF(B113="","",$B$15*(B113-$B$14))</f>
        <v/>
      </c>
      <c r="D113" s="46">
        <f>IF(OR(A113="",C113="",D112="",C112=""),"",D112+(C112+C113)/2*(A113-A112)*60)</f>
        <v/>
      </c>
      <c r="E113" s="20">
        <f>IF(OR(D113="",$B$18=""),"",D113/$B$18)</f>
        <v/>
      </c>
      <c r="F113" s="29">
        <f>IF(OR(C113="",$B$18=""),"",C113*60/$B$18)</f>
        <v/>
      </c>
    </row>
    <row r="114">
      <c r="A114" s="26" t="n">
        <v>261</v>
      </c>
      <c r="B114" s="44" t="n">
        <v>0.001189</v>
      </c>
      <c r="C114" s="45">
        <f>IF(B114="","",$B$15*(B114-$B$14))</f>
        <v/>
      </c>
      <c r="D114" s="46">
        <f>IF(OR(A114="",C114="",D113="",C113=""),"",D113+(C113+C114)/2*(A114-A113)*60)</f>
        <v/>
      </c>
      <c r="E114" s="20">
        <f>IF(OR(D114="",$B$18=""),"",D114/$B$18)</f>
        <v/>
      </c>
      <c r="F114" s="29">
        <f>IF(OR(C114="",$B$18=""),"",C114*60/$B$18)</f>
        <v/>
      </c>
    </row>
    <row r="115">
      <c r="A115" s="26" t="n">
        <v>264</v>
      </c>
      <c r="B115" s="44" t="n">
        <v>0.001176</v>
      </c>
      <c r="C115" s="45">
        <f>IF(B115="","",$B$15*(B115-$B$14))</f>
        <v/>
      </c>
      <c r="D115" s="46">
        <f>IF(OR(A115="",C115="",D114="",C114=""),"",D114+(C114+C115)/2*(A115-A114)*60)</f>
        <v/>
      </c>
      <c r="E115" s="20">
        <f>IF(OR(D115="",$B$18=""),"",D115/$B$18)</f>
        <v/>
      </c>
      <c r="F115" s="29">
        <f>IF(OR(C115="",$B$18=""),"",C115*60/$B$18)</f>
        <v/>
      </c>
    </row>
    <row r="116">
      <c r="A116" s="26" t="n">
        <v>267</v>
      </c>
      <c r="B116" s="44" t="n">
        <v>0.001163</v>
      </c>
      <c r="C116" s="45">
        <f>IF(B116="","",$B$15*(B116-$B$14))</f>
        <v/>
      </c>
      <c r="D116" s="46">
        <f>IF(OR(A116="",C116="",D115="",C115=""),"",D115+(C115+C116)/2*(A116-A115)*60)</f>
        <v/>
      </c>
      <c r="E116" s="20">
        <f>IF(OR(D116="",$B$18=""),"",D116/$B$18)</f>
        <v/>
      </c>
      <c r="F116" s="29">
        <f>IF(OR(C116="",$B$18=""),"",C116*60/$B$18)</f>
        <v/>
      </c>
    </row>
    <row r="117">
      <c r="A117" s="26" t="n">
        <v>270</v>
      </c>
      <c r="B117" s="44" t="n">
        <v>0.001151</v>
      </c>
      <c r="C117" s="45">
        <f>IF(B117="","",$B$15*(B117-$B$14))</f>
        <v/>
      </c>
      <c r="D117" s="46">
        <f>IF(OR(A117="",C117="",D116="",C116=""),"",D116+(C116+C117)/2*(A117-A116)*60)</f>
        <v/>
      </c>
      <c r="E117" s="20">
        <f>IF(OR(D117="",$B$18=""),"",D117/$B$18)</f>
        <v/>
      </c>
      <c r="F117" s="29">
        <f>IF(OR(C117="",$B$18=""),"",C117*60/$B$18)</f>
        <v/>
      </c>
    </row>
    <row r="118">
      <c r="A118" s="26" t="n">
        <v>273</v>
      </c>
      <c r="B118" s="44" t="n">
        <v>0.001139</v>
      </c>
      <c r="C118" s="45">
        <f>IF(B118="","",$B$15*(B118-$B$14))</f>
        <v/>
      </c>
      <c r="D118" s="46">
        <f>IF(OR(A118="",C118="",D117="",C117=""),"",D117+(C117+C118)/2*(A118-A117)*60)</f>
        <v/>
      </c>
      <c r="E118" s="20">
        <f>IF(OR(D118="",$B$18=""),"",D118/$B$18)</f>
        <v/>
      </c>
      <c r="F118" s="29">
        <f>IF(OR(C118="",$B$18=""),"",C118*60/$B$18)</f>
        <v/>
      </c>
    </row>
    <row r="119">
      <c r="A119" s="26" t="n">
        <v>276</v>
      </c>
      <c r="B119" s="44" t="n">
        <v>0.001127</v>
      </c>
      <c r="C119" s="45">
        <f>IF(B119="","",$B$15*(B119-$B$14))</f>
        <v/>
      </c>
      <c r="D119" s="46">
        <f>IF(OR(A119="",C119="",D118="",C118=""),"",D118+(C118+C119)/2*(A119-A118)*60)</f>
        <v/>
      </c>
      <c r="E119" s="20">
        <f>IF(OR(D119="",$B$18=""),"",D119/$B$18)</f>
        <v/>
      </c>
      <c r="F119" s="29">
        <f>IF(OR(C119="",$B$18=""),"",C119*60/$B$18)</f>
        <v/>
      </c>
    </row>
    <row r="120">
      <c r="A120" s="26" t="n">
        <v>279</v>
      </c>
      <c r="B120" s="44" t="n">
        <v>0.001116</v>
      </c>
      <c r="C120" s="45">
        <f>IF(B120="","",$B$15*(B120-$B$14))</f>
        <v/>
      </c>
      <c r="D120" s="46">
        <f>IF(OR(A120="",C120="",D119="",C119=""),"",D119+(C119+C120)/2*(A120-A119)*60)</f>
        <v/>
      </c>
      <c r="E120" s="20">
        <f>IF(OR(D120="",$B$18=""),"",D120/$B$18)</f>
        <v/>
      </c>
      <c r="F120" s="29">
        <f>IF(OR(C120="",$B$18=""),"",C120*60/$B$18)</f>
        <v/>
      </c>
    </row>
    <row r="121">
      <c r="A121" s="26" t="n">
        <v>282</v>
      </c>
      <c r="B121" s="44" t="n">
        <v>0.001105</v>
      </c>
      <c r="C121" s="45">
        <f>IF(B121="","",$B$15*(B121-$B$14))</f>
        <v/>
      </c>
      <c r="D121" s="46">
        <f>IF(OR(A121="",C121="",D120="",C120=""),"",D120+(C120+C121)/2*(A121-A120)*60)</f>
        <v/>
      </c>
      <c r="E121" s="20">
        <f>IF(OR(D121="",$B$18=""),"",D121/$B$18)</f>
        <v/>
      </c>
      <c r="F121" s="29">
        <f>IF(OR(C121="",$B$18=""),"",C121*60/$B$18)</f>
        <v/>
      </c>
    </row>
    <row r="122">
      <c r="A122" s="26" t="n">
        <v>285</v>
      </c>
      <c r="B122" s="44" t="n">
        <v>0.001094</v>
      </c>
      <c r="C122" s="45">
        <f>IF(B122="","",$B$15*(B122-$B$14))</f>
        <v/>
      </c>
      <c r="D122" s="46">
        <f>IF(OR(A122="",C122="",D121="",C121=""),"",D121+(C121+C122)/2*(A122-A121)*60)</f>
        <v/>
      </c>
      <c r="E122" s="20">
        <f>IF(OR(D122="",$B$18=""),"",D122/$B$18)</f>
        <v/>
      </c>
      <c r="F122" s="29">
        <f>IF(OR(C122="",$B$18=""),"",C122*60/$B$18)</f>
        <v/>
      </c>
    </row>
    <row r="123">
      <c r="A123" s="26" t="n">
        <v>288</v>
      </c>
      <c r="B123" s="44" t="n">
        <v>0.001084</v>
      </c>
      <c r="C123" s="45">
        <f>IF(B123="","",$B$15*(B123-$B$14))</f>
        <v/>
      </c>
      <c r="D123" s="46">
        <f>IF(OR(A123="",C123="",D122="",C122=""),"",D122+(C122+C123)/2*(A123-A122)*60)</f>
        <v/>
      </c>
      <c r="E123" s="20">
        <f>IF(OR(D123="",$B$18=""),"",D123/$B$18)</f>
        <v/>
      </c>
      <c r="F123" s="29">
        <f>IF(OR(C123="",$B$18=""),"",C123*60/$B$18)</f>
        <v/>
      </c>
    </row>
    <row r="124">
      <c r="A124" s="26" t="n">
        <v>291</v>
      </c>
      <c r="B124" s="44" t="n">
        <v>0.001073</v>
      </c>
      <c r="C124" s="45">
        <f>IF(B124="","",$B$15*(B124-$B$14))</f>
        <v/>
      </c>
      <c r="D124" s="46">
        <f>IF(OR(A124="",C124="",D123="",C123=""),"",D123+(C123+C124)/2*(A124-A123)*60)</f>
        <v/>
      </c>
      <c r="E124" s="20">
        <f>IF(OR(D124="",$B$18=""),"",D124/$B$18)</f>
        <v/>
      </c>
      <c r="F124" s="29">
        <f>IF(OR(C124="",$B$18=""),"",C124*60/$B$18)</f>
        <v/>
      </c>
    </row>
    <row r="125">
      <c r="A125" s="26" t="n">
        <v>294</v>
      </c>
      <c r="B125" s="44" t="n">
        <v>0.001063</v>
      </c>
      <c r="C125" s="45">
        <f>IF(B125="","",$B$15*(B125-$B$14))</f>
        <v/>
      </c>
      <c r="D125" s="46">
        <f>IF(OR(A125="",C125="",D124="",C124=""),"",D124+(C124+C125)/2*(A125-A124)*60)</f>
        <v/>
      </c>
      <c r="E125" s="20">
        <f>IF(OR(D125="",$B$18=""),"",D125/$B$18)</f>
        <v/>
      </c>
      <c r="F125" s="29">
        <f>IF(OR(C125="",$B$18=""),"",C125*60/$B$18)</f>
        <v/>
      </c>
    </row>
    <row r="126">
      <c r="A126" s="26" t="n">
        <v>297</v>
      </c>
      <c r="B126" s="44" t="n">
        <v>0.001054</v>
      </c>
      <c r="C126" s="45">
        <f>IF(B126="","",$B$15*(B126-$B$14))</f>
        <v/>
      </c>
      <c r="D126" s="46">
        <f>IF(OR(A126="",C126="",D125="",C125=""),"",D125+(C125+C126)/2*(A126-A125)*60)</f>
        <v/>
      </c>
      <c r="E126" s="20">
        <f>IF(OR(D126="",$B$18=""),"",D126/$B$18)</f>
        <v/>
      </c>
      <c r="F126" s="29">
        <f>IF(OR(C126="",$B$18=""),"",C126*60/$B$18)</f>
        <v/>
      </c>
    </row>
    <row r="127">
      <c r="A127" s="26" t="n">
        <v>300</v>
      </c>
      <c r="B127" s="44" t="n">
        <v>0.001044</v>
      </c>
      <c r="C127" s="45">
        <f>IF(B127="","",$B$15*(B127-$B$14))</f>
        <v/>
      </c>
      <c r="D127" s="46">
        <f>IF(OR(A127="",C127="",D126="",C126=""),"",D126+(C126+C127)/2*(A127-A126)*60)</f>
        <v/>
      </c>
      <c r="E127" s="20">
        <f>IF(OR(D127="",$B$18=""),"",D127/$B$18)</f>
        <v/>
      </c>
      <c r="F127" s="29">
        <f>IF(OR(C127="",$B$18=""),"",C127*60/$B$18)</f>
        <v/>
      </c>
    </row>
    <row r="128">
      <c r="A128" s="26" t="n">
        <v>303</v>
      </c>
      <c r="B128" s="44" t="n">
        <v>0.001035</v>
      </c>
      <c r="C128" s="45">
        <f>IF(B128="","",$B$15*(B128-$B$14))</f>
        <v/>
      </c>
      <c r="D128" s="46">
        <f>IF(OR(A128="",C128="",D127="",C127=""),"",D127+(C127+C128)/2*(A128-A127)*60)</f>
        <v/>
      </c>
      <c r="E128" s="20">
        <f>IF(OR(D128="",$B$18=""),"",D128/$B$18)</f>
        <v/>
      </c>
      <c r="F128" s="29">
        <f>IF(OR(C128="",$B$18=""),"",C128*60/$B$18)</f>
        <v/>
      </c>
    </row>
    <row r="129">
      <c r="A129" s="26" t="n">
        <v>306</v>
      </c>
      <c r="B129" s="44" t="n">
        <v>0.001026</v>
      </c>
      <c r="C129" s="45">
        <f>IF(B129="","",$B$15*(B129-$B$14))</f>
        <v/>
      </c>
      <c r="D129" s="46">
        <f>IF(OR(A129="",C129="",D128="",C128=""),"",D128+(C128+C129)/2*(A129-A128)*60)</f>
        <v/>
      </c>
      <c r="E129" s="20">
        <f>IF(OR(D129="",$B$18=""),"",D129/$B$18)</f>
        <v/>
      </c>
      <c r="F129" s="29">
        <f>IF(OR(C129="",$B$18=""),"",C129*60/$B$18)</f>
        <v/>
      </c>
    </row>
    <row r="130">
      <c r="A130" s="26" t="n">
        <v>309</v>
      </c>
      <c r="B130" s="44" t="n">
        <v>0.001017</v>
      </c>
      <c r="C130" s="45">
        <f>IF(B130="","",$B$15*(B130-$B$14))</f>
        <v/>
      </c>
      <c r="D130" s="46">
        <f>IF(OR(A130="",C130="",D129="",C129=""),"",D129+(C129+C130)/2*(A130-A129)*60)</f>
        <v/>
      </c>
      <c r="E130" s="20">
        <f>IF(OR(D130="",$B$18=""),"",D130/$B$18)</f>
        <v/>
      </c>
      <c r="F130" s="29">
        <f>IF(OR(C130="",$B$18=""),"",C130*60/$B$18)</f>
        <v/>
      </c>
    </row>
    <row r="131">
      <c r="A131" s="26" t="n">
        <v>312</v>
      </c>
      <c r="B131" s="44" t="n">
        <v>0.001009</v>
      </c>
      <c r="C131" s="45">
        <f>IF(B131="","",$B$15*(B131-$B$14))</f>
        <v/>
      </c>
      <c r="D131" s="46">
        <f>IF(OR(A131="",C131="",D130="",C130=""),"",D130+(C130+C131)/2*(A131-A130)*60)</f>
        <v/>
      </c>
      <c r="E131" s="20">
        <f>IF(OR(D131="",$B$18=""),"",D131/$B$18)</f>
        <v/>
      </c>
      <c r="F131" s="29">
        <f>IF(OR(C131="",$B$18=""),"",C131*60/$B$18)</f>
        <v/>
      </c>
    </row>
    <row r="132">
      <c r="A132" s="26" t="n">
        <v>315</v>
      </c>
      <c r="B132" s="44" t="n">
        <v>0.001</v>
      </c>
      <c r="C132" s="45">
        <f>IF(B132="","",$B$15*(B132-$B$14))</f>
        <v/>
      </c>
      <c r="D132" s="46">
        <f>IF(OR(A132="",C132="",D131="",C131=""),"",D131+(C131+C132)/2*(A132-A131)*60)</f>
        <v/>
      </c>
      <c r="E132" s="20">
        <f>IF(OR(D132="",$B$18=""),"",D132/$B$18)</f>
        <v/>
      </c>
      <c r="F132" s="29">
        <f>IF(OR(C132="",$B$18=""),"",C132*60/$B$18)</f>
        <v/>
      </c>
    </row>
    <row r="133">
      <c r="A133" s="26" t="n">
        <v>318</v>
      </c>
      <c r="B133" s="44" t="n">
        <v>0.000992</v>
      </c>
      <c r="C133" s="45">
        <f>IF(B133="","",$B$15*(B133-$B$14))</f>
        <v/>
      </c>
      <c r="D133" s="46">
        <f>IF(OR(A133="",C133="",D132="",C132=""),"",D132+(C132+C133)/2*(A133-A132)*60)</f>
        <v/>
      </c>
      <c r="E133" s="20">
        <f>IF(OR(D133="",$B$18=""),"",D133/$B$18)</f>
        <v/>
      </c>
      <c r="F133" s="29">
        <f>IF(OR(C133="",$B$18=""),"",C133*60/$B$18)</f>
        <v/>
      </c>
    </row>
    <row r="134">
      <c r="A134" s="26" t="n">
        <v>321</v>
      </c>
      <c r="B134" s="44" t="n">
        <v>0.0009840000000000001</v>
      </c>
      <c r="C134" s="45">
        <f>IF(B134="","",$B$15*(B134-$B$14))</f>
        <v/>
      </c>
      <c r="D134" s="46">
        <f>IF(OR(A134="",C134="",D133="",C133=""),"",D133+(C133+C134)/2*(A134-A133)*60)</f>
        <v/>
      </c>
      <c r="E134" s="20">
        <f>IF(OR(D134="",$B$18=""),"",D134/$B$18)</f>
        <v/>
      </c>
      <c r="F134" s="29">
        <f>IF(OR(C134="",$B$18=""),"",C134*60/$B$18)</f>
        <v/>
      </c>
    </row>
    <row r="135">
      <c r="A135" s="26" t="n">
        <v>324</v>
      </c>
      <c r="B135" s="44" t="n">
        <v>0.000977</v>
      </c>
      <c r="C135" s="45">
        <f>IF(B135="","",$B$15*(B135-$B$14))</f>
        <v/>
      </c>
      <c r="D135" s="46">
        <f>IF(OR(A135="",C135="",D134="",C134=""),"",D134+(C134+C135)/2*(A135-A134)*60)</f>
        <v/>
      </c>
      <c r="E135" s="20">
        <f>IF(OR(D135="",$B$18=""),"",D135/$B$18)</f>
        <v/>
      </c>
      <c r="F135" s="29">
        <f>IF(OR(C135="",$B$18=""),"",C135*60/$B$18)</f>
        <v/>
      </c>
    </row>
    <row r="136">
      <c r="A136" s="26" t="n">
        <v>327</v>
      </c>
      <c r="B136" s="44" t="n">
        <v>0.000969</v>
      </c>
      <c r="C136" s="45">
        <f>IF(B136="","",$B$15*(B136-$B$14))</f>
        <v/>
      </c>
      <c r="D136" s="46">
        <f>IF(OR(A136="",C136="",D135="",C135=""),"",D135+(C135+C136)/2*(A136-A135)*60)</f>
        <v/>
      </c>
      <c r="E136" s="20">
        <f>IF(OR(D136="",$B$18=""),"",D136/$B$18)</f>
        <v/>
      </c>
      <c r="F136" s="29">
        <f>IF(OR(C136="",$B$18=""),"",C136*60/$B$18)</f>
        <v/>
      </c>
    </row>
    <row r="137">
      <c r="A137" s="26" t="n">
        <v>330</v>
      </c>
      <c r="B137" s="44" t="n">
        <v>0.000962</v>
      </c>
      <c r="C137" s="45">
        <f>IF(B137="","",$B$15*(B137-$B$14))</f>
        <v/>
      </c>
      <c r="D137" s="46">
        <f>IF(OR(A137="",C137="",D136="",C136=""),"",D136+(C136+C137)/2*(A137-A136)*60)</f>
        <v/>
      </c>
      <c r="E137" s="20">
        <f>IF(OR(D137="",$B$18=""),"",D137/$B$18)</f>
        <v/>
      </c>
      <c r="F137" s="29">
        <f>IF(OR(C137="",$B$18=""),"",C137*60/$B$18)</f>
        <v/>
      </c>
    </row>
    <row r="138">
      <c r="A138" s="26" t="n">
        <v>333</v>
      </c>
      <c r="B138" s="44" t="n">
        <v>0.000954</v>
      </c>
      <c r="C138" s="45">
        <f>IF(B138="","",$B$15*(B138-$B$14))</f>
        <v/>
      </c>
      <c r="D138" s="46">
        <f>IF(OR(A138="",C138="",D137="",C137=""),"",D137+(C137+C138)/2*(A138-A137)*60)</f>
        <v/>
      </c>
      <c r="E138" s="20">
        <f>IF(OR(D138="",$B$18=""),"",D138/$B$18)</f>
        <v/>
      </c>
      <c r="F138" s="29">
        <f>IF(OR(C138="",$B$18=""),"",C138*60/$B$18)</f>
        <v/>
      </c>
    </row>
    <row r="139">
      <c r="A139" s="26" t="n">
        <v>336</v>
      </c>
      <c r="B139" s="44" t="n">
        <v>0.000947</v>
      </c>
      <c r="C139" s="45">
        <f>IF(B139="","",$B$15*(B139-$B$14))</f>
        <v/>
      </c>
      <c r="D139" s="46">
        <f>IF(OR(A139="",C139="",D138="",C138=""),"",D138+(C138+C139)/2*(A139-A138)*60)</f>
        <v/>
      </c>
      <c r="E139" s="20">
        <f>IF(OR(D139="",$B$18=""),"",D139/$B$18)</f>
        <v/>
      </c>
      <c r="F139" s="29">
        <f>IF(OR(C139="",$B$18=""),"",C139*60/$B$18)</f>
        <v/>
      </c>
    </row>
    <row r="140">
      <c r="A140" s="26" t="n">
        <v>339</v>
      </c>
      <c r="B140" s="44" t="n">
        <v>0.000941</v>
      </c>
      <c r="C140" s="45">
        <f>IF(B140="","",$B$15*(B140-$B$14))</f>
        <v/>
      </c>
      <c r="D140" s="46">
        <f>IF(OR(A140="",C140="",D139="",C139=""),"",D139+(C139+C140)/2*(A140-A139)*60)</f>
        <v/>
      </c>
      <c r="E140" s="20">
        <f>IF(OR(D140="",$B$18=""),"",D140/$B$18)</f>
        <v/>
      </c>
      <c r="F140" s="29">
        <f>IF(OR(C140="",$B$18=""),"",C140*60/$B$18)</f>
        <v/>
      </c>
    </row>
    <row r="141">
      <c r="A141" s="26" t="n">
        <v>342</v>
      </c>
      <c r="B141" s="44" t="n">
        <v>0.000934</v>
      </c>
      <c r="C141" s="45">
        <f>IF(B141="","",$B$15*(B141-$B$14))</f>
        <v/>
      </c>
      <c r="D141" s="46">
        <f>IF(OR(A141="",C141="",D140="",C140=""),"",D140+(C140+C141)/2*(A141-A140)*60)</f>
        <v/>
      </c>
      <c r="E141" s="20">
        <f>IF(OR(D141="",$B$18=""),"",D141/$B$18)</f>
        <v/>
      </c>
      <c r="F141" s="29">
        <f>IF(OR(C141="",$B$18=""),"",C141*60/$B$18)</f>
        <v/>
      </c>
    </row>
    <row r="142">
      <c r="A142" s="26" t="n">
        <v>345</v>
      </c>
      <c r="B142" s="44" t="n">
        <v>0.000927</v>
      </c>
      <c r="C142" s="45">
        <f>IF(B142="","",$B$15*(B142-$B$14))</f>
        <v/>
      </c>
      <c r="D142" s="46">
        <f>IF(OR(A142="",C142="",D141="",C141=""),"",D141+(C141+C142)/2*(A142-A141)*60)</f>
        <v/>
      </c>
      <c r="E142" s="20">
        <f>IF(OR(D142="",$B$18=""),"",D142/$B$18)</f>
        <v/>
      </c>
      <c r="F142" s="29">
        <f>IF(OR(C142="",$B$18=""),"",C142*60/$B$18)</f>
        <v/>
      </c>
    </row>
    <row r="143">
      <c r="A143" s="26" t="n">
        <v>348</v>
      </c>
      <c r="B143" s="44" t="n">
        <v>0.0009210000000000001</v>
      </c>
      <c r="C143" s="45">
        <f>IF(B143="","",$B$15*(B143-$B$14))</f>
        <v/>
      </c>
      <c r="D143" s="46">
        <f>IF(OR(A143="",C143="",D142="",C142=""),"",D142+(C142+C143)/2*(A143-A142)*60)</f>
        <v/>
      </c>
      <c r="E143" s="20">
        <f>IF(OR(D143="",$B$18=""),"",D143/$B$18)</f>
        <v/>
      </c>
      <c r="F143" s="29">
        <f>IF(OR(C143="",$B$18=""),"",C143*60/$B$18)</f>
        <v/>
      </c>
    </row>
    <row r="144">
      <c r="A144" s="26" t="n">
        <v>351</v>
      </c>
      <c r="B144" s="44" t="n">
        <v>0.000915</v>
      </c>
      <c r="C144" s="45">
        <f>IF(B144="","",$B$15*(B144-$B$14))</f>
        <v/>
      </c>
      <c r="D144" s="46">
        <f>IF(OR(A144="",C144="",D143="",C143=""),"",D143+(C143+C144)/2*(A144-A143)*60)</f>
        <v/>
      </c>
      <c r="E144" s="20">
        <f>IF(OR(D144="",$B$18=""),"",D144/$B$18)</f>
        <v/>
      </c>
      <c r="F144" s="29">
        <f>IF(OR(C144="",$B$18=""),"",C144*60/$B$18)</f>
        <v/>
      </c>
    </row>
    <row r="145">
      <c r="A145" s="26" t="n">
        <v>354</v>
      </c>
      <c r="B145" s="44" t="n">
        <v>0.000908</v>
      </c>
      <c r="C145" s="45">
        <f>IF(B145="","",$B$15*(B145-$B$14))</f>
        <v/>
      </c>
      <c r="D145" s="46">
        <f>IF(OR(A145="",C145="",D144="",C144=""),"",D144+(C144+C145)/2*(A145-A144)*60)</f>
        <v/>
      </c>
      <c r="E145" s="20">
        <f>IF(OR(D145="",$B$18=""),"",D145/$B$18)</f>
        <v/>
      </c>
      <c r="F145" s="29">
        <f>IF(OR(C145="",$B$18=""),"",C145*60/$B$18)</f>
        <v/>
      </c>
    </row>
    <row r="146">
      <c r="A146" s="26" t="n">
        <v>357</v>
      </c>
      <c r="B146" s="44" t="n">
        <v>0.000902</v>
      </c>
      <c r="C146" s="45">
        <f>IF(B146="","",$B$15*(B146-$B$14))</f>
        <v/>
      </c>
      <c r="D146" s="46">
        <f>IF(OR(A146="",C146="",D145="",C145=""),"",D145+(C145+C146)/2*(A146-A145)*60)</f>
        <v/>
      </c>
      <c r="E146" s="20">
        <f>IF(OR(D146="",$B$18=""),"",D146/$B$18)</f>
        <v/>
      </c>
      <c r="F146" s="29">
        <f>IF(OR(C146="",$B$18=""),"",C146*60/$B$18)</f>
        <v/>
      </c>
    </row>
    <row r="147">
      <c r="A147" s="26" t="n">
        <v>360</v>
      </c>
      <c r="B147" s="44" t="n">
        <v>0.000897</v>
      </c>
      <c r="C147" s="45">
        <f>IF(B147="","",$B$15*(B147-$B$14))</f>
        <v/>
      </c>
      <c r="D147" s="46">
        <f>IF(OR(A147="",C147="",D146="",C146=""),"",D146+(C146+C147)/2*(A147-A146)*60)</f>
        <v/>
      </c>
      <c r="E147" s="20">
        <f>IF(OR(D147="",$B$18=""),"",D147/$B$18)</f>
        <v/>
      </c>
      <c r="F147" s="29">
        <f>IF(OR(C147="",$B$18=""),"",C147*60/$B$18)</f>
        <v/>
      </c>
    </row>
    <row r="148">
      <c r="A148" s="26" t="n"/>
      <c r="B148" s="44" t="n"/>
      <c r="C148" s="45">
        <f>IF(B148="","",$B$15*(B148-$B$14))</f>
        <v/>
      </c>
      <c r="D148" s="46">
        <f>IF(OR(A148="",C148="",D147="",C147=""),"",D147+(C147+C148)/2*(A148-A147)*60)</f>
        <v/>
      </c>
      <c r="E148" s="20">
        <f>IF(OR(D148="",$B$18=""),"",D148/$B$18)</f>
        <v/>
      </c>
      <c r="F148" s="29">
        <f>IF(OR(C148="",$B$18=""),"",C148*60/$B$18)</f>
        <v/>
      </c>
    </row>
    <row r="149">
      <c r="A149" s="26" t="n"/>
      <c r="B149" s="44" t="n"/>
      <c r="C149" s="45">
        <f>IF(B149="","",$B$15*(B149-$B$14))</f>
        <v/>
      </c>
      <c r="D149" s="46">
        <f>IF(OR(A149="",C149="",D148="",C148=""),"",D148+(C148+C149)/2*(A149-A148)*60)</f>
        <v/>
      </c>
      <c r="E149" s="20">
        <f>IF(OR(D149="",$B$18=""),"",D149/$B$18)</f>
        <v/>
      </c>
      <c r="F149" s="29">
        <f>IF(OR(C149="",$B$18=""),"",C149*60/$B$18)</f>
        <v/>
      </c>
    </row>
    <row r="150">
      <c r="A150" s="26" t="n"/>
      <c r="B150" s="44" t="n"/>
      <c r="C150" s="45">
        <f>IF(B150="","",$B$15*(B150-$B$14))</f>
        <v/>
      </c>
      <c r="D150" s="46">
        <f>IF(OR(A150="",C150="",D149="",C149=""),"",D149+(C149+C150)/2*(A150-A149)*60)</f>
        <v/>
      </c>
      <c r="E150" s="20">
        <f>IF(OR(D150="",$B$18=""),"",D150/$B$18)</f>
        <v/>
      </c>
      <c r="F150" s="29">
        <f>IF(OR(C150="",$B$18=""),"",C150*60/$B$18)</f>
        <v/>
      </c>
    </row>
    <row r="151">
      <c r="A151" s="26" t="n"/>
      <c r="B151" s="44" t="n"/>
      <c r="C151" s="45">
        <f>IF(B151="","",$B$15*(B151-$B$14))</f>
        <v/>
      </c>
      <c r="D151" s="46">
        <f>IF(OR(A151="",C151="",D150="",C150=""),"",D150+(C150+C151)/2*(A151-A150)*60)</f>
        <v/>
      </c>
      <c r="E151" s="20">
        <f>IF(OR(D151="",$B$18=""),"",D151/$B$18)</f>
        <v/>
      </c>
      <c r="F151" s="29">
        <f>IF(OR(C151="",$B$18=""),"",C151*60/$B$18)</f>
        <v/>
      </c>
    </row>
    <row r="152">
      <c r="A152" s="26" t="n"/>
      <c r="B152" s="44" t="n"/>
      <c r="C152" s="45">
        <f>IF(B152="","",$B$15*(B152-$B$14))</f>
        <v/>
      </c>
      <c r="D152" s="46">
        <f>IF(OR(A152="",C152="",D151="",C151=""),"",D151+(C151+C152)/2*(A152-A151)*60)</f>
        <v/>
      </c>
      <c r="E152" s="20">
        <f>IF(OR(D152="",$B$18=""),"",D152/$B$18)</f>
        <v/>
      </c>
      <c r="F152" s="29">
        <f>IF(OR(C152="",$B$18=""),"",C152*60/$B$18)</f>
        <v/>
      </c>
    </row>
    <row r="153">
      <c r="A153" s="26" t="n"/>
      <c r="B153" s="44" t="n"/>
      <c r="C153" s="45">
        <f>IF(B153="","",$B$15*(B153-$B$14))</f>
        <v/>
      </c>
      <c r="D153" s="46">
        <f>IF(OR(A153="",C153="",D152="",C152=""),"",D152+(C152+C153)/2*(A153-A152)*60)</f>
        <v/>
      </c>
      <c r="E153" s="20">
        <f>IF(OR(D153="",$B$18=""),"",D153/$B$18)</f>
        <v/>
      </c>
      <c r="F153" s="29">
        <f>IF(OR(C153="",$B$18=""),"",C153*60/$B$18)</f>
        <v/>
      </c>
    </row>
    <row r="154">
      <c r="A154" s="26" t="n"/>
      <c r="B154" s="44" t="n"/>
      <c r="C154" s="45">
        <f>IF(B154="","",$B$15*(B154-$B$14))</f>
        <v/>
      </c>
      <c r="D154" s="46">
        <f>IF(OR(A154="",C154="",D153="",C153=""),"",D153+(C153+C154)/2*(A154-A153)*60)</f>
        <v/>
      </c>
      <c r="E154" s="20">
        <f>IF(OR(D154="",$B$18=""),"",D154/$B$18)</f>
        <v/>
      </c>
      <c r="F154" s="29">
        <f>IF(OR(C154="",$B$18=""),"",C154*60/$B$18)</f>
        <v/>
      </c>
    </row>
    <row r="155">
      <c r="A155" s="26" t="n"/>
      <c r="B155" s="44" t="n"/>
      <c r="C155" s="45">
        <f>IF(B155="","",$B$15*(B155-$B$14))</f>
        <v/>
      </c>
      <c r="D155" s="46">
        <f>IF(OR(A155="",C155="",D154="",C154=""),"",D154+(C154+C155)/2*(A155-A154)*60)</f>
        <v/>
      </c>
      <c r="E155" s="20">
        <f>IF(OR(D155="",$B$18=""),"",D155/$B$18)</f>
        <v/>
      </c>
      <c r="F155" s="29">
        <f>IF(OR(C155="",$B$18=""),"",C155*60/$B$18)</f>
        <v/>
      </c>
    </row>
    <row r="156">
      <c r="A156" s="26" t="n"/>
      <c r="B156" s="44" t="n"/>
      <c r="C156" s="45">
        <f>IF(B156="","",$B$15*(B156-$B$14))</f>
        <v/>
      </c>
      <c r="D156" s="46">
        <f>IF(OR(A156="",C156="",D155="",C155=""),"",D155+(C155+C156)/2*(A156-A155)*60)</f>
        <v/>
      </c>
      <c r="E156" s="20">
        <f>IF(OR(D156="",$B$18=""),"",D156/$B$18)</f>
        <v/>
      </c>
      <c r="F156" s="29">
        <f>IF(OR(C156="",$B$18=""),"",C156*60/$B$18)</f>
        <v/>
      </c>
    </row>
    <row r="157">
      <c r="A157" s="26" t="n"/>
      <c r="B157" s="44" t="n"/>
      <c r="C157" s="45">
        <f>IF(B157="","",$B$15*(B157-$B$14))</f>
        <v/>
      </c>
      <c r="D157" s="46">
        <f>IF(OR(A157="",C157="",D156="",C156=""),"",D156+(C156+C157)/2*(A157-A156)*60)</f>
        <v/>
      </c>
      <c r="E157" s="20">
        <f>IF(OR(D157="",$B$18=""),"",D157/$B$18)</f>
        <v/>
      </c>
      <c r="F157" s="29">
        <f>IF(OR(C157="",$B$18=""),"",C157*60/$B$18)</f>
        <v/>
      </c>
    </row>
    <row r="158">
      <c r="A158" s="26" t="n"/>
      <c r="B158" s="44" t="n"/>
      <c r="C158" s="45">
        <f>IF(B158="","",$B$15*(B158-$B$14))</f>
        <v/>
      </c>
      <c r="D158" s="46">
        <f>IF(OR(A158="",C158="",D157="",C157=""),"",D157+(C157+C158)/2*(A158-A157)*60)</f>
        <v/>
      </c>
      <c r="E158" s="20">
        <f>IF(OR(D158="",$B$18=""),"",D158/$B$18)</f>
        <v/>
      </c>
      <c r="F158" s="29">
        <f>IF(OR(C158="",$B$18=""),"",C158*60/$B$18)</f>
        <v/>
      </c>
    </row>
    <row r="159">
      <c r="A159" s="26" t="n"/>
      <c r="B159" s="44" t="n"/>
      <c r="C159" s="45">
        <f>IF(B159="","",$B$15*(B159-$B$14))</f>
        <v/>
      </c>
      <c r="D159" s="46">
        <f>IF(OR(A159="",C159="",D158="",C158=""),"",D158+(C158+C159)/2*(A159-A158)*60)</f>
        <v/>
      </c>
      <c r="E159" s="20">
        <f>IF(OR(D159="",$B$18=""),"",D159/$B$18)</f>
        <v/>
      </c>
      <c r="F159" s="29">
        <f>IF(OR(C159="",$B$18=""),"",C159*60/$B$18)</f>
        <v/>
      </c>
    </row>
    <row r="160">
      <c r="A160" s="26" t="n"/>
      <c r="B160" s="44" t="n"/>
      <c r="C160" s="45">
        <f>IF(B160="","",$B$15*(B160-$B$14))</f>
        <v/>
      </c>
      <c r="D160" s="46">
        <f>IF(OR(A160="",C160="",D159="",C159=""),"",D159+(C159+C160)/2*(A160-A159)*60)</f>
        <v/>
      </c>
      <c r="E160" s="20">
        <f>IF(OR(D160="",$B$18=""),"",D160/$B$18)</f>
        <v/>
      </c>
      <c r="F160" s="29">
        <f>IF(OR(C160="",$B$18=""),"",C160*60/$B$18)</f>
        <v/>
      </c>
    </row>
    <row r="161">
      <c r="A161" s="26" t="n"/>
      <c r="B161" s="44" t="n"/>
      <c r="C161" s="45">
        <f>IF(B161="","",$B$15*(B161-$B$14))</f>
        <v/>
      </c>
      <c r="D161" s="46">
        <f>IF(OR(A161="",C161="",D160="",C160=""),"",D160+(C160+C161)/2*(A161-A160)*60)</f>
        <v/>
      </c>
      <c r="E161" s="20">
        <f>IF(OR(D161="",$B$18=""),"",D161/$B$18)</f>
        <v/>
      </c>
      <c r="F161" s="29">
        <f>IF(OR(C161="",$B$18=""),"",C161*60/$B$18)</f>
        <v/>
      </c>
    </row>
    <row r="162">
      <c r="A162" s="26" t="n"/>
      <c r="B162" s="44" t="n"/>
      <c r="C162" s="45">
        <f>IF(B162="","",$B$15*(B162-$B$14))</f>
        <v/>
      </c>
      <c r="D162" s="46">
        <f>IF(OR(A162="",C162="",D161="",C161=""),"",D161+(C161+C162)/2*(A162-A161)*60)</f>
        <v/>
      </c>
      <c r="E162" s="20">
        <f>IF(OR(D162="",$B$18=""),"",D162/$B$18)</f>
        <v/>
      </c>
      <c r="F162" s="29">
        <f>IF(OR(C162="",$B$18=""),"",C162*60/$B$18)</f>
        <v/>
      </c>
    </row>
    <row r="163">
      <c r="A163" s="26" t="n"/>
      <c r="B163" s="44" t="n"/>
      <c r="C163" s="45">
        <f>IF(B163="","",$B$15*(B163-$B$14))</f>
        <v/>
      </c>
      <c r="D163" s="46">
        <f>IF(OR(A163="",C163="",D162="",C162=""),"",D162+(C162+C163)/2*(A163-A162)*60)</f>
        <v/>
      </c>
      <c r="E163" s="20">
        <f>IF(OR(D163="",$B$18=""),"",D163/$B$18)</f>
        <v/>
      </c>
      <c r="F163" s="29">
        <f>IF(OR(C163="",$B$18=""),"",C163*60/$B$18)</f>
        <v/>
      </c>
    </row>
    <row r="164">
      <c r="A164" s="26" t="n"/>
      <c r="B164" s="44" t="n"/>
      <c r="C164" s="45">
        <f>IF(B164="","",$B$15*(B164-$B$14))</f>
        <v/>
      </c>
      <c r="D164" s="46">
        <f>IF(OR(A164="",C164="",D163="",C163=""),"",D163+(C163+C164)/2*(A164-A163)*60)</f>
        <v/>
      </c>
      <c r="E164" s="20">
        <f>IF(OR(D164="",$B$18=""),"",D164/$B$18)</f>
        <v/>
      </c>
      <c r="F164" s="29">
        <f>IF(OR(C164="",$B$18=""),"",C164*60/$B$18)</f>
        <v/>
      </c>
    </row>
    <row r="165">
      <c r="A165" s="26" t="n"/>
      <c r="B165" s="44" t="n"/>
      <c r="C165" s="45">
        <f>IF(B165="","",$B$15*(B165-$B$14))</f>
        <v/>
      </c>
      <c r="D165" s="46">
        <f>IF(OR(A165="",C165="",D164="",C164=""),"",D164+(C164+C165)/2*(A165-A164)*60)</f>
        <v/>
      </c>
      <c r="E165" s="20">
        <f>IF(OR(D165="",$B$18=""),"",D165/$B$18)</f>
        <v/>
      </c>
      <c r="F165" s="29">
        <f>IF(OR(C165="",$B$18=""),"",C165*60/$B$18)</f>
        <v/>
      </c>
    </row>
    <row r="166">
      <c r="A166" s="26" t="n"/>
      <c r="B166" s="44" t="n"/>
      <c r="C166" s="45">
        <f>IF(B166="","",$B$15*(B166-$B$14))</f>
        <v/>
      </c>
      <c r="D166" s="46">
        <f>IF(OR(A166="",C166="",D165="",C165=""),"",D165+(C165+C166)/2*(A166-A165)*60)</f>
        <v/>
      </c>
      <c r="E166" s="20">
        <f>IF(OR(D166="",$B$18=""),"",D166/$B$18)</f>
        <v/>
      </c>
      <c r="F166" s="29">
        <f>IF(OR(C166="",$B$18=""),"",C166*60/$B$18)</f>
        <v/>
      </c>
    </row>
    <row r="167">
      <c r="A167" s="26" t="n"/>
      <c r="B167" s="44" t="n"/>
      <c r="C167" s="45">
        <f>IF(B167="","",$B$15*(B167-$B$14))</f>
        <v/>
      </c>
      <c r="D167" s="46">
        <f>IF(OR(A167="",C167="",D166="",C166=""),"",D166+(C166+C167)/2*(A167-A166)*60)</f>
        <v/>
      </c>
      <c r="E167" s="20">
        <f>IF(OR(D167="",$B$18=""),"",D167/$B$18)</f>
        <v/>
      </c>
      <c r="F167" s="29">
        <f>IF(OR(C167="",$B$18=""),"",C167*60/$B$18)</f>
        <v/>
      </c>
    </row>
    <row r="168">
      <c r="A168" s="26" t="n"/>
      <c r="B168" s="44" t="n"/>
      <c r="C168" s="45">
        <f>IF(B168="","",$B$15*(B168-$B$14))</f>
        <v/>
      </c>
      <c r="D168" s="46">
        <f>IF(OR(A168="",C168="",D167="",C167=""),"",D167+(C167+C168)/2*(A168-A167)*60)</f>
        <v/>
      </c>
      <c r="E168" s="20">
        <f>IF(OR(D168="",$B$18=""),"",D168/$B$18)</f>
        <v/>
      </c>
      <c r="F168" s="29">
        <f>IF(OR(C168="",$B$18=""),"",C168*60/$B$18)</f>
        <v/>
      </c>
    </row>
    <row r="169">
      <c r="A169" s="26" t="n"/>
      <c r="B169" s="44" t="n"/>
      <c r="C169" s="45">
        <f>IF(B169="","",$B$15*(B169-$B$14))</f>
        <v/>
      </c>
      <c r="D169" s="46">
        <f>IF(OR(A169="",C169="",D168="",C168=""),"",D168+(C168+C169)/2*(A169-A168)*60)</f>
        <v/>
      </c>
      <c r="E169" s="20">
        <f>IF(OR(D169="",$B$18=""),"",D169/$B$18)</f>
        <v/>
      </c>
      <c r="F169" s="29">
        <f>IF(OR(C169="",$B$18=""),"",C169*60/$B$18)</f>
        <v/>
      </c>
    </row>
    <row r="170">
      <c r="A170" s="26" t="n"/>
      <c r="B170" s="44" t="n"/>
      <c r="C170" s="45">
        <f>IF(B170="","",$B$15*(B170-$B$14))</f>
        <v/>
      </c>
      <c r="D170" s="46">
        <f>IF(OR(A170="",C170="",D169="",C169=""),"",D169+(C169+C170)/2*(A170-A169)*60)</f>
        <v/>
      </c>
      <c r="E170" s="20">
        <f>IF(OR(D170="",$B$18=""),"",D170/$B$18)</f>
        <v/>
      </c>
      <c r="F170" s="29">
        <f>IF(OR(C170="",$B$18=""),"",C170*60/$B$18)</f>
        <v/>
      </c>
    </row>
    <row r="171">
      <c r="A171" s="26" t="n"/>
      <c r="B171" s="44" t="n"/>
      <c r="C171" s="45">
        <f>IF(B171="","",$B$15*(B171-$B$14))</f>
        <v/>
      </c>
      <c r="D171" s="46">
        <f>IF(OR(A171="",C171="",D170="",C170=""),"",D170+(C170+C171)/2*(A171-A170)*60)</f>
        <v/>
      </c>
      <c r="E171" s="20">
        <f>IF(OR(D171="",$B$18=""),"",D171/$B$18)</f>
        <v/>
      </c>
      <c r="F171" s="29">
        <f>IF(OR(C171="",$B$18=""),"",C171*60/$B$18)</f>
        <v/>
      </c>
    </row>
    <row r="172">
      <c r="A172" s="26" t="n"/>
      <c r="B172" s="44" t="n"/>
      <c r="C172" s="45">
        <f>IF(B172="","",$B$15*(B172-$B$14))</f>
        <v/>
      </c>
      <c r="D172" s="46">
        <f>IF(OR(A172="",C172="",D171="",C171=""),"",D171+(C171+C172)/2*(A172-A171)*60)</f>
        <v/>
      </c>
      <c r="E172" s="20">
        <f>IF(OR(D172="",$B$18=""),"",D172/$B$18)</f>
        <v/>
      </c>
      <c r="F172" s="29">
        <f>IF(OR(C172="",$B$18=""),"",C172*60/$B$18)</f>
        <v/>
      </c>
    </row>
    <row r="173">
      <c r="A173" s="26" t="n"/>
      <c r="B173" s="44" t="n"/>
      <c r="C173" s="45">
        <f>IF(B173="","",$B$15*(B173-$B$14))</f>
        <v/>
      </c>
      <c r="D173" s="46">
        <f>IF(OR(A173="",C173="",D172="",C172=""),"",D172+(C172+C173)/2*(A173-A172)*60)</f>
        <v/>
      </c>
      <c r="E173" s="20">
        <f>IF(OR(D173="",$B$18=""),"",D173/$B$18)</f>
        <v/>
      </c>
      <c r="F173" s="29">
        <f>IF(OR(C173="",$B$18=""),"",C173*60/$B$18)</f>
        <v/>
      </c>
    </row>
    <row r="174">
      <c r="A174" s="26" t="n"/>
      <c r="B174" s="44" t="n"/>
      <c r="C174" s="45">
        <f>IF(B174="","",$B$15*(B174-$B$14))</f>
        <v/>
      </c>
      <c r="D174" s="46">
        <f>IF(OR(A174="",C174="",D173="",C173=""),"",D173+(C173+C174)/2*(A174-A173)*60)</f>
        <v/>
      </c>
      <c r="E174" s="20">
        <f>IF(OR(D174="",$B$18=""),"",D174/$B$18)</f>
        <v/>
      </c>
      <c r="F174" s="29">
        <f>IF(OR(C174="",$B$18=""),"",C174*60/$B$18)</f>
        <v/>
      </c>
    </row>
    <row r="175">
      <c r="A175" s="26" t="n"/>
      <c r="B175" s="44" t="n"/>
      <c r="C175" s="45">
        <f>IF(B175="","",$B$15*(B175-$B$14))</f>
        <v/>
      </c>
      <c r="D175" s="46">
        <f>IF(OR(A175="",C175="",D174="",C174=""),"",D174+(C174+C175)/2*(A175-A174)*60)</f>
        <v/>
      </c>
      <c r="E175" s="20">
        <f>IF(OR(D175="",$B$18=""),"",D175/$B$18)</f>
        <v/>
      </c>
      <c r="F175" s="29">
        <f>IF(OR(C175="",$B$18=""),"",C175*60/$B$18)</f>
        <v/>
      </c>
    </row>
    <row r="176">
      <c r="A176" s="26" t="n"/>
      <c r="B176" s="44" t="n"/>
      <c r="C176" s="45">
        <f>IF(B176="","",$B$15*(B176-$B$14))</f>
        <v/>
      </c>
      <c r="D176" s="46">
        <f>IF(OR(A176="",C176="",D175="",C175=""),"",D175+(C175+C176)/2*(A176-A175)*60)</f>
        <v/>
      </c>
      <c r="E176" s="20">
        <f>IF(OR(D176="",$B$18=""),"",D176/$B$18)</f>
        <v/>
      </c>
      <c r="F176" s="29">
        <f>IF(OR(C176="",$B$18=""),"",C176*60/$B$18)</f>
        <v/>
      </c>
    </row>
    <row r="177">
      <c r="A177" s="26" t="n"/>
      <c r="B177" s="44" t="n"/>
      <c r="C177" s="45">
        <f>IF(B177="","",$B$15*(B177-$B$14))</f>
        <v/>
      </c>
      <c r="D177" s="46">
        <f>IF(OR(A177="",C177="",D176="",C176=""),"",D176+(C176+C177)/2*(A177-A176)*60)</f>
        <v/>
      </c>
      <c r="E177" s="20">
        <f>IF(OR(D177="",$B$18=""),"",D177/$B$18)</f>
        <v/>
      </c>
      <c r="F177" s="29">
        <f>IF(OR(C177="",$B$18=""),"",C177*60/$B$18)</f>
        <v/>
      </c>
    </row>
    <row r="178">
      <c r="A178" s="26" t="n"/>
      <c r="B178" s="44" t="n"/>
      <c r="C178" s="45">
        <f>IF(B178="","",$B$15*(B178-$B$14))</f>
        <v/>
      </c>
      <c r="D178" s="46">
        <f>IF(OR(A178="",C178="",D177="",C177=""),"",D177+(C177+C178)/2*(A178-A177)*60)</f>
        <v/>
      </c>
      <c r="E178" s="20">
        <f>IF(OR(D178="",$B$18=""),"",D178/$B$18)</f>
        <v/>
      </c>
      <c r="F178" s="29">
        <f>IF(OR(C178="",$B$18=""),"",C178*60/$B$18)</f>
        <v/>
      </c>
    </row>
    <row r="179">
      <c r="A179" s="26" t="n"/>
      <c r="B179" s="44" t="n"/>
      <c r="C179" s="45">
        <f>IF(B179="","",$B$15*(B179-$B$14))</f>
        <v/>
      </c>
      <c r="D179" s="46">
        <f>IF(OR(A179="",C179="",D178="",C178=""),"",D178+(C178+C179)/2*(A179-A178)*60)</f>
        <v/>
      </c>
      <c r="E179" s="20">
        <f>IF(OR(D179="",$B$18=""),"",D179/$B$18)</f>
        <v/>
      </c>
      <c r="F179" s="29">
        <f>IF(OR(C179="",$B$18=""),"",C179*60/$B$18)</f>
        <v/>
      </c>
    </row>
    <row r="180">
      <c r="A180" s="26" t="n"/>
      <c r="B180" s="44" t="n"/>
      <c r="C180" s="45">
        <f>IF(B180="","",$B$15*(B180-$B$14))</f>
        <v/>
      </c>
      <c r="D180" s="46">
        <f>IF(OR(A180="",C180="",D179="",C179=""),"",D179+(C179+C180)/2*(A180-A179)*60)</f>
        <v/>
      </c>
      <c r="E180" s="20">
        <f>IF(OR(D180="",$B$18=""),"",D180/$B$18)</f>
        <v/>
      </c>
      <c r="F180" s="29">
        <f>IF(OR(C180="",$B$18=""),"",C180*60/$B$18)</f>
        <v/>
      </c>
    </row>
    <row r="181">
      <c r="A181" s="26" t="n"/>
      <c r="B181" s="44" t="n"/>
      <c r="C181" s="45">
        <f>IF(B181="","",$B$15*(B181-$B$14))</f>
        <v/>
      </c>
      <c r="D181" s="46">
        <f>IF(OR(A181="",C181="",D180="",C180=""),"",D180+(C180+C181)/2*(A181-A180)*60)</f>
        <v/>
      </c>
      <c r="E181" s="20">
        <f>IF(OR(D181="",$B$18=""),"",D181/$B$18)</f>
        <v/>
      </c>
      <c r="F181" s="29">
        <f>IF(OR(C181="",$B$18=""),"",C181*60/$B$18)</f>
        <v/>
      </c>
    </row>
    <row r="182">
      <c r="A182" s="26" t="n"/>
      <c r="B182" s="44" t="n"/>
      <c r="C182" s="45">
        <f>IF(B182="","",$B$15*(B182-$B$14))</f>
        <v/>
      </c>
      <c r="D182" s="46">
        <f>IF(OR(A182="",C182="",D181="",C181=""),"",D181+(C181+C182)/2*(A182-A181)*60)</f>
        <v/>
      </c>
      <c r="E182" s="20">
        <f>IF(OR(D182="",$B$18=""),"",D182/$B$18)</f>
        <v/>
      </c>
      <c r="F182" s="29">
        <f>IF(OR(C182="",$B$18=""),"",C182*60/$B$18)</f>
        <v/>
      </c>
    </row>
    <row r="183">
      <c r="A183" s="26" t="n"/>
      <c r="B183" s="44" t="n"/>
      <c r="C183" s="45">
        <f>IF(B183="","",$B$15*(B183-$B$14))</f>
        <v/>
      </c>
      <c r="D183" s="46">
        <f>IF(OR(A183="",C183="",D182="",C182=""),"",D182+(C182+C183)/2*(A183-A182)*60)</f>
        <v/>
      </c>
      <c r="E183" s="20">
        <f>IF(OR(D183="",$B$18=""),"",D183/$B$18)</f>
        <v/>
      </c>
      <c r="F183" s="29">
        <f>IF(OR(C183="",$B$18=""),"",C183*60/$B$18)</f>
        <v/>
      </c>
    </row>
    <row r="184">
      <c r="A184" s="26" t="n"/>
      <c r="B184" s="44" t="n"/>
      <c r="C184" s="45">
        <f>IF(B184="","",$B$15*(B184-$B$14))</f>
        <v/>
      </c>
      <c r="D184" s="46">
        <f>IF(OR(A184="",C184="",D183="",C183=""),"",D183+(C183+C184)/2*(A184-A183)*60)</f>
        <v/>
      </c>
      <c r="E184" s="20">
        <f>IF(OR(D184="",$B$18=""),"",D184/$B$18)</f>
        <v/>
      </c>
      <c r="F184" s="29">
        <f>IF(OR(C184="",$B$18=""),"",C184*60/$B$18)</f>
        <v/>
      </c>
    </row>
    <row r="185">
      <c r="A185" s="26" t="n"/>
      <c r="B185" s="44" t="n"/>
      <c r="C185" s="45">
        <f>IF(B185="","",$B$15*(B185-$B$14))</f>
        <v/>
      </c>
      <c r="D185" s="46">
        <f>IF(OR(A185="",C185="",D184="",C184=""),"",D184+(C184+C185)/2*(A185-A184)*60)</f>
        <v/>
      </c>
      <c r="E185" s="20">
        <f>IF(OR(D185="",$B$18=""),"",D185/$B$18)</f>
        <v/>
      </c>
      <c r="F185" s="29">
        <f>IF(OR(C185="",$B$18=""),"",C185*60/$B$18)</f>
        <v/>
      </c>
    </row>
    <row r="186">
      <c r="A186" s="26" t="n"/>
      <c r="B186" s="44" t="n"/>
      <c r="C186" s="45">
        <f>IF(B186="","",$B$15*(B186-$B$14))</f>
        <v/>
      </c>
      <c r="D186" s="46">
        <f>IF(OR(A186="",C186="",D185="",C185=""),"",D185+(C185+C186)/2*(A186-A185)*60)</f>
        <v/>
      </c>
      <c r="E186" s="20">
        <f>IF(OR(D186="",$B$18=""),"",D186/$B$18)</f>
        <v/>
      </c>
      <c r="F186" s="29">
        <f>IF(OR(C186="",$B$18=""),"",C186*60/$B$18)</f>
        <v/>
      </c>
    </row>
    <row r="187">
      <c r="A187" s="26" t="n"/>
      <c r="B187" s="44" t="n"/>
      <c r="C187" s="45">
        <f>IF(B187="","",$B$15*(B187-$B$14))</f>
        <v/>
      </c>
      <c r="D187" s="46">
        <f>IF(OR(A187="",C187="",D186="",C186=""),"",D186+(C186+C187)/2*(A187-A186)*60)</f>
        <v/>
      </c>
      <c r="E187" s="20">
        <f>IF(OR(D187="",$B$18=""),"",D187/$B$18)</f>
        <v/>
      </c>
      <c r="F187" s="29">
        <f>IF(OR(C187="",$B$18=""),"",C187*60/$B$18)</f>
        <v/>
      </c>
    </row>
    <row r="188">
      <c r="A188" s="26" t="n"/>
      <c r="B188" s="44" t="n"/>
      <c r="C188" s="45">
        <f>IF(B188="","",$B$15*(B188-$B$14))</f>
        <v/>
      </c>
      <c r="D188" s="46">
        <f>IF(OR(A188="",C188="",D187="",C187=""),"",D187+(C187+C188)/2*(A188-A187)*60)</f>
        <v/>
      </c>
      <c r="E188" s="20">
        <f>IF(OR(D188="",$B$18=""),"",D188/$B$18)</f>
        <v/>
      </c>
      <c r="F188" s="29">
        <f>IF(OR(C188="",$B$18=""),"",C188*60/$B$18)</f>
        <v/>
      </c>
    </row>
    <row r="189">
      <c r="A189" s="26" t="n"/>
      <c r="B189" s="44" t="n"/>
      <c r="C189" s="45">
        <f>IF(B189="","",$B$15*(B189-$B$14))</f>
        <v/>
      </c>
      <c r="D189" s="46">
        <f>IF(OR(A189="",C189="",D188="",C188=""),"",D188+(C188+C189)/2*(A189-A188)*60)</f>
        <v/>
      </c>
      <c r="E189" s="20">
        <f>IF(OR(D189="",$B$18=""),"",D189/$B$18)</f>
        <v/>
      </c>
      <c r="F189" s="29">
        <f>IF(OR(C189="",$B$18=""),"",C189*60/$B$18)</f>
        <v/>
      </c>
    </row>
    <row r="190">
      <c r="A190" s="26" t="n"/>
      <c r="B190" s="44" t="n"/>
      <c r="C190" s="45">
        <f>IF(B190="","",$B$15*(B190-$B$14))</f>
        <v/>
      </c>
      <c r="D190" s="46">
        <f>IF(OR(A190="",C190="",D189="",C189=""),"",D189+(C189+C190)/2*(A190-A189)*60)</f>
        <v/>
      </c>
      <c r="E190" s="20">
        <f>IF(OR(D190="",$B$18=""),"",D190/$B$18)</f>
        <v/>
      </c>
      <c r="F190" s="29">
        <f>IF(OR(C190="",$B$18=""),"",C190*60/$B$18)</f>
        <v/>
      </c>
    </row>
    <row r="191">
      <c r="A191" s="26" t="n"/>
      <c r="B191" s="44" t="n"/>
      <c r="C191" s="45">
        <f>IF(B191="","",$B$15*(B191-$B$14))</f>
        <v/>
      </c>
      <c r="D191" s="46">
        <f>IF(OR(A191="",C191="",D190="",C190=""),"",D190+(C190+C191)/2*(A191-A190)*60)</f>
        <v/>
      </c>
      <c r="E191" s="20">
        <f>IF(OR(D191="",$B$18=""),"",D191/$B$18)</f>
        <v/>
      </c>
      <c r="F191" s="29">
        <f>IF(OR(C191="",$B$18=""),"",C191*60/$B$18)</f>
        <v/>
      </c>
    </row>
    <row r="192">
      <c r="A192" s="26" t="n"/>
      <c r="B192" s="44" t="n"/>
      <c r="C192" s="45">
        <f>IF(B192="","",$B$15*(B192-$B$14))</f>
        <v/>
      </c>
      <c r="D192" s="46">
        <f>IF(OR(A192="",C192="",D191="",C191=""),"",D191+(C191+C192)/2*(A192-A191)*60)</f>
        <v/>
      </c>
      <c r="E192" s="20">
        <f>IF(OR(D192="",$B$18=""),"",D192/$B$18)</f>
        <v/>
      </c>
      <c r="F192" s="29">
        <f>IF(OR(C192="",$B$18=""),"",C192*60/$B$18)</f>
        <v/>
      </c>
    </row>
    <row r="193">
      <c r="A193" s="26" t="n"/>
      <c r="B193" s="44" t="n"/>
      <c r="C193" s="45">
        <f>IF(B193="","",$B$15*(B193-$B$14))</f>
        <v/>
      </c>
      <c r="D193" s="46">
        <f>IF(OR(A193="",C193="",D192="",C192=""),"",D192+(C192+C193)/2*(A193-A192)*60)</f>
        <v/>
      </c>
      <c r="E193" s="20">
        <f>IF(OR(D193="",$B$18=""),"",D193/$B$18)</f>
        <v/>
      </c>
      <c r="F193" s="29">
        <f>IF(OR(C193="",$B$18=""),"",C193*60/$B$18)</f>
        <v/>
      </c>
    </row>
    <row r="194">
      <c r="A194" s="26" t="n"/>
      <c r="B194" s="44" t="n"/>
      <c r="C194" s="45">
        <f>IF(B194="","",$B$15*(B194-$B$14))</f>
        <v/>
      </c>
      <c r="D194" s="46">
        <f>IF(OR(A194="",C194="",D193="",C193=""),"",D193+(C193+C194)/2*(A194-A193)*60)</f>
        <v/>
      </c>
      <c r="E194" s="20">
        <f>IF(OR(D194="",$B$18=""),"",D194/$B$18)</f>
        <v/>
      </c>
      <c r="F194" s="29">
        <f>IF(OR(C194="",$B$18=""),"",C194*60/$B$18)</f>
        <v/>
      </c>
    </row>
    <row r="195">
      <c r="A195" s="26" t="n"/>
      <c r="B195" s="44" t="n"/>
      <c r="C195" s="45">
        <f>IF(B195="","",$B$15*(B195-$B$14))</f>
        <v/>
      </c>
      <c r="D195" s="46">
        <f>IF(OR(A195="",C195="",D194="",C194=""),"",D194+(C194+C195)/2*(A195-A194)*60)</f>
        <v/>
      </c>
      <c r="E195" s="20">
        <f>IF(OR(D195="",$B$18=""),"",D195/$B$18)</f>
        <v/>
      </c>
      <c r="F195" s="29">
        <f>IF(OR(C195="",$B$18=""),"",C195*60/$B$18)</f>
        <v/>
      </c>
    </row>
    <row r="196">
      <c r="A196" s="26" t="n"/>
      <c r="B196" s="44" t="n"/>
      <c r="C196" s="45">
        <f>IF(B196="","",$B$15*(B196-$B$14))</f>
        <v/>
      </c>
      <c r="D196" s="46">
        <f>IF(OR(A196="",C196="",D195="",C195=""),"",D195+(C195+C196)/2*(A196-A195)*60)</f>
        <v/>
      </c>
      <c r="E196" s="20">
        <f>IF(OR(D196="",$B$18=""),"",D196/$B$18)</f>
        <v/>
      </c>
      <c r="F196" s="29">
        <f>IF(OR(C196="",$B$18=""),"",C196*60/$B$18)</f>
        <v/>
      </c>
    </row>
    <row r="197">
      <c r="A197" s="26" t="n"/>
      <c r="B197" s="44" t="n"/>
      <c r="C197" s="45">
        <f>IF(B197="","",$B$15*(B197-$B$14))</f>
        <v/>
      </c>
      <c r="D197" s="46">
        <f>IF(OR(A197="",C197="",D196="",C196=""),"",D196+(C196+C197)/2*(A197-A196)*60)</f>
        <v/>
      </c>
      <c r="E197" s="20">
        <f>IF(OR(D197="",$B$18=""),"",D197/$B$18)</f>
        <v/>
      </c>
      <c r="F197" s="29">
        <f>IF(OR(C197="",$B$18=""),"",C197*60/$B$18)</f>
        <v/>
      </c>
    </row>
    <row r="198">
      <c r="A198" s="26" t="n"/>
      <c r="B198" s="44" t="n"/>
      <c r="C198" s="45">
        <f>IF(B198="","",$B$15*(B198-$B$14))</f>
        <v/>
      </c>
      <c r="D198" s="46">
        <f>IF(OR(A198="",C198="",D197="",C197=""),"",D197+(C197+C198)/2*(A198-A197)*60)</f>
        <v/>
      </c>
      <c r="E198" s="20">
        <f>IF(OR(D198="",$B$18=""),"",D198/$B$18)</f>
        <v/>
      </c>
      <c r="F198" s="29">
        <f>IF(OR(C198="",$B$18=""),"",C198*60/$B$18)</f>
        <v/>
      </c>
    </row>
    <row r="199">
      <c r="A199" s="26" t="n"/>
      <c r="B199" s="44" t="n"/>
      <c r="C199" s="45">
        <f>IF(B199="","",$B$15*(B199-$B$14))</f>
        <v/>
      </c>
      <c r="D199" s="46">
        <f>IF(OR(A199="",C199="",D198="",C198=""),"",D198+(C198+C199)/2*(A199-A198)*60)</f>
        <v/>
      </c>
      <c r="E199" s="20">
        <f>IF(OR(D199="",$B$18=""),"",D199/$B$18)</f>
        <v/>
      </c>
      <c r="F199" s="29">
        <f>IF(OR(C199="",$B$18=""),"",C199*60/$B$18)</f>
        <v/>
      </c>
    </row>
    <row r="200">
      <c r="A200" s="26" t="n"/>
      <c r="B200" s="44" t="n"/>
      <c r="C200" s="45">
        <f>IF(B200="","",$B$15*(B200-$B$14))</f>
        <v/>
      </c>
      <c r="D200" s="46">
        <f>IF(OR(A200="",C200="",D199="",C199=""),"",D199+(C199+C200)/2*(A200-A199)*60)</f>
        <v/>
      </c>
      <c r="E200" s="20">
        <f>IF(OR(D200="",$B$18=""),"",D200/$B$18)</f>
        <v/>
      </c>
      <c r="F200" s="29">
        <f>IF(OR(C200="",$B$18=""),"",C200*60/$B$18)</f>
        <v/>
      </c>
    </row>
    <row r="201">
      <c r="A201" s="26" t="n"/>
      <c r="B201" s="44" t="n"/>
      <c r="C201" s="45">
        <f>IF(B201="","",$B$15*(B201-$B$14))</f>
        <v/>
      </c>
      <c r="D201" s="46">
        <f>IF(OR(A201="",C201="",D200="",C200=""),"",D200+(C200+C201)/2*(A201-A200)*60)</f>
        <v/>
      </c>
      <c r="E201" s="20">
        <f>IF(OR(D201="",$B$18=""),"",D201/$B$18)</f>
        <v/>
      </c>
      <c r="F201" s="29">
        <f>IF(OR(C201="",$B$18=""),"",C201*60/$B$18)</f>
        <v/>
      </c>
    </row>
    <row r="202">
      <c r="A202" s="26" t="n"/>
      <c r="B202" s="44" t="n"/>
      <c r="C202" s="45">
        <f>IF(B202="","",$B$15*(B202-$B$14))</f>
        <v/>
      </c>
      <c r="D202" s="46">
        <f>IF(OR(A202="",C202="",D201="",C201=""),"",D201+(C201+C202)/2*(A202-A201)*60)</f>
        <v/>
      </c>
      <c r="E202" s="20">
        <f>IF(OR(D202="",$B$18=""),"",D202/$B$18)</f>
        <v/>
      </c>
      <c r="F202" s="29">
        <f>IF(OR(C202="",$B$18=""),"",C202*60/$B$18)</f>
        <v/>
      </c>
    </row>
    <row r="203">
      <c r="A203" s="26" t="n"/>
      <c r="B203" s="44" t="n"/>
      <c r="C203" s="45">
        <f>IF(B203="","",$B$15*(B203-$B$14))</f>
        <v/>
      </c>
      <c r="D203" s="46">
        <f>IF(OR(A203="",C203="",D202="",C202=""),"",D202+(C202+C203)/2*(A203-A202)*60)</f>
        <v/>
      </c>
      <c r="E203" s="20">
        <f>IF(OR(D203="",$B$18=""),"",D203/$B$18)</f>
        <v/>
      </c>
      <c r="F203" s="29">
        <f>IF(OR(C203="",$B$18=""),"",C203*60/$B$18)</f>
        <v/>
      </c>
    </row>
    <row r="204">
      <c r="A204" s="26" t="n"/>
      <c r="B204" s="44" t="n"/>
      <c r="C204" s="45">
        <f>IF(B204="","",$B$15*(B204-$B$14))</f>
        <v/>
      </c>
      <c r="D204" s="46">
        <f>IF(OR(A204="",C204="",D203="",C203=""),"",D203+(C203+C204)/2*(A204-A203)*60)</f>
        <v/>
      </c>
      <c r="E204" s="20">
        <f>IF(OR(D204="",$B$18=""),"",D204/$B$18)</f>
        <v/>
      </c>
      <c r="F204" s="29">
        <f>IF(OR(C204="",$B$18=""),"",C204*60/$B$18)</f>
        <v/>
      </c>
    </row>
    <row r="205">
      <c r="A205" s="26" t="n"/>
      <c r="B205" s="44" t="n"/>
      <c r="C205" s="45">
        <f>IF(B205="","",$B$15*(B205-$B$14))</f>
        <v/>
      </c>
      <c r="D205" s="46">
        <f>IF(OR(A205="",C205="",D204="",C204=""),"",D204+(C204+C205)/2*(A205-A204)*60)</f>
        <v/>
      </c>
      <c r="E205" s="20">
        <f>IF(OR(D205="",$B$18=""),"",D205/$B$18)</f>
        <v/>
      </c>
      <c r="F205" s="29">
        <f>IF(OR(C205="",$B$18=""),"",C205*60/$B$18)</f>
        <v/>
      </c>
    </row>
    <row r="206">
      <c r="A206" s="26" t="n"/>
      <c r="B206" s="44" t="n"/>
      <c r="C206" s="45">
        <f>IF(B206="","",$B$15*(B206-$B$14))</f>
        <v/>
      </c>
      <c r="D206" s="46">
        <f>IF(OR(A206="",C206="",D205="",C205=""),"",D205+(C205+C206)/2*(A206-A205)*60)</f>
        <v/>
      </c>
      <c r="E206" s="20">
        <f>IF(OR(D206="",$B$18=""),"",D206/$B$18)</f>
        <v/>
      </c>
      <c r="F206" s="29">
        <f>IF(OR(C206="",$B$18=""),"",C206*60/$B$18)</f>
        <v/>
      </c>
    </row>
    <row r="207">
      <c r="A207" s="26" t="n"/>
      <c r="B207" s="44" t="n"/>
      <c r="C207" s="45">
        <f>IF(B207="","",$B$15*(B207-$B$14))</f>
        <v/>
      </c>
      <c r="D207" s="46">
        <f>IF(OR(A207="",C207="",D206="",C206=""),"",D206+(C206+C207)/2*(A207-A206)*60)</f>
        <v/>
      </c>
      <c r="E207" s="20">
        <f>IF(OR(D207="",$B$18=""),"",D207/$B$18)</f>
        <v/>
      </c>
      <c r="F207" s="29">
        <f>IF(OR(C207="",$B$18=""),"",C207*60/$B$18)</f>
        <v/>
      </c>
    </row>
    <row r="208">
      <c r="A208" s="26" t="n"/>
      <c r="B208" s="44" t="n"/>
      <c r="C208" s="45">
        <f>IF(B208="","",$B$15*(B208-$B$14))</f>
        <v/>
      </c>
      <c r="D208" s="46">
        <f>IF(OR(A208="",C208="",D207="",C207=""),"",D207+(C207+C208)/2*(A208-A207)*60)</f>
        <v/>
      </c>
      <c r="E208" s="20">
        <f>IF(OR(D208="",$B$18=""),"",D208/$B$18)</f>
        <v/>
      </c>
      <c r="F208" s="29">
        <f>IF(OR(C208="",$B$18=""),"",C208*60/$B$18)</f>
        <v/>
      </c>
    </row>
    <row r="209">
      <c r="A209" s="26" t="n"/>
      <c r="B209" s="44" t="n"/>
      <c r="C209" s="45">
        <f>IF(B209="","",$B$15*(B209-$B$14))</f>
        <v/>
      </c>
      <c r="D209" s="46">
        <f>IF(OR(A209="",C209="",D208="",C208=""),"",D208+(C208+C209)/2*(A209-A208)*60)</f>
        <v/>
      </c>
      <c r="E209" s="20">
        <f>IF(OR(D209="",$B$18=""),"",D209/$B$18)</f>
        <v/>
      </c>
      <c r="F209" s="29">
        <f>IF(OR(C209="",$B$18=""),"",C209*60/$B$18)</f>
        <v/>
      </c>
    </row>
    <row r="210">
      <c r="A210" s="26" t="n"/>
      <c r="B210" s="44" t="n"/>
      <c r="C210" s="45">
        <f>IF(B210="","",$B$15*(B210-$B$14))</f>
        <v/>
      </c>
      <c r="D210" s="46">
        <f>IF(OR(A210="",C210="",D209="",C209=""),"",D209+(C209+C210)/2*(A210-A209)*60)</f>
        <v/>
      </c>
      <c r="E210" s="20">
        <f>IF(OR(D210="",$B$18=""),"",D210/$B$18)</f>
        <v/>
      </c>
      <c r="F210" s="29">
        <f>IF(OR(C210="",$B$18=""),"",C210*60/$B$18)</f>
        <v/>
      </c>
    </row>
    <row r="211">
      <c r="A211" s="26" t="n"/>
      <c r="B211" s="44" t="n"/>
      <c r="C211" s="45">
        <f>IF(B211="","",$B$15*(B211-$B$14))</f>
        <v/>
      </c>
      <c r="D211" s="46">
        <f>IF(OR(A211="",C211="",D210="",C210=""),"",D210+(C210+C211)/2*(A211-A210)*60)</f>
        <v/>
      </c>
      <c r="E211" s="20">
        <f>IF(OR(D211="",$B$18=""),"",D211/$B$18)</f>
        <v/>
      </c>
      <c r="F211" s="29">
        <f>IF(OR(C211="",$B$18=""),"",C211*60/$B$18)</f>
        <v/>
      </c>
    </row>
    <row r="212">
      <c r="A212" s="26" t="n"/>
      <c r="B212" s="44" t="n"/>
      <c r="C212" s="45">
        <f>IF(B212="","",$B$15*(B212-$B$14))</f>
        <v/>
      </c>
      <c r="D212" s="46">
        <f>IF(OR(A212="",C212="",D211="",C211=""),"",D211+(C211+C212)/2*(A212-A211)*60)</f>
        <v/>
      </c>
      <c r="E212" s="20">
        <f>IF(OR(D212="",$B$18=""),"",D212/$B$18)</f>
        <v/>
      </c>
      <c r="F212" s="29">
        <f>IF(OR(C212="",$B$18=""),"",C212*60/$B$18)</f>
        <v/>
      </c>
    </row>
    <row r="213">
      <c r="A213" s="26" t="n"/>
      <c r="B213" s="44" t="n"/>
      <c r="C213" s="45">
        <f>IF(B213="","",$B$15*(B213-$B$14))</f>
        <v/>
      </c>
      <c r="D213" s="46">
        <f>IF(OR(A213="",C213="",D212="",C212=""),"",D212+(C212+C213)/2*(A213-A212)*60)</f>
        <v/>
      </c>
      <c r="E213" s="20">
        <f>IF(OR(D213="",$B$18=""),"",D213/$B$18)</f>
        <v/>
      </c>
      <c r="F213" s="29">
        <f>IF(OR(C213="",$B$18=""),"",C213*60/$B$18)</f>
        <v/>
      </c>
    </row>
    <row r="214">
      <c r="A214" s="26" t="n"/>
      <c r="B214" s="44" t="n"/>
      <c r="C214" s="45">
        <f>IF(B214="","",$B$15*(B214-$B$14))</f>
        <v/>
      </c>
      <c r="D214" s="46">
        <f>IF(OR(A214="",C214="",D213="",C213=""),"",D213+(C213+C214)/2*(A214-A213)*60)</f>
        <v/>
      </c>
      <c r="E214" s="20">
        <f>IF(OR(D214="",$B$18=""),"",D214/$B$18)</f>
        <v/>
      </c>
      <c r="F214" s="29">
        <f>IF(OR(C214="",$B$18=""),"",C214*60/$B$18)</f>
        <v/>
      </c>
    </row>
    <row r="215">
      <c r="A215" s="26" t="n"/>
      <c r="B215" s="44" t="n"/>
      <c r="C215" s="45">
        <f>IF(B215="","",$B$15*(B215-$B$14))</f>
        <v/>
      </c>
      <c r="D215" s="46">
        <f>IF(OR(A215="",C215="",D214="",C214=""),"",D214+(C214+C215)/2*(A215-A214)*60)</f>
        <v/>
      </c>
      <c r="E215" s="20">
        <f>IF(OR(D215="",$B$18=""),"",D215/$B$18)</f>
        <v/>
      </c>
      <c r="F215" s="29">
        <f>IF(OR(C215="",$B$18=""),"",C215*60/$B$18)</f>
        <v/>
      </c>
    </row>
    <row r="216">
      <c r="A216" s="26" t="n"/>
      <c r="B216" s="44" t="n"/>
      <c r="C216" s="45">
        <f>IF(B216="","",$B$15*(B216-$B$14))</f>
        <v/>
      </c>
      <c r="D216" s="46">
        <f>IF(OR(A216="",C216="",D215="",C215=""),"",D215+(C215+C216)/2*(A216-A215)*60)</f>
        <v/>
      </c>
      <c r="E216" s="20">
        <f>IF(OR(D216="",$B$18=""),"",D216/$B$18)</f>
        <v/>
      </c>
      <c r="F216" s="29">
        <f>IF(OR(C216="",$B$18=""),"",C216*60/$B$18)</f>
        <v/>
      </c>
    </row>
    <row r="217">
      <c r="A217" s="26" t="n"/>
      <c r="B217" s="44" t="n"/>
      <c r="C217" s="45">
        <f>IF(B217="","",$B$15*(B217-$B$14))</f>
        <v/>
      </c>
      <c r="D217" s="46">
        <f>IF(OR(A217="",C217="",D216="",C216=""),"",D216+(C216+C217)/2*(A217-A216)*60)</f>
        <v/>
      </c>
      <c r="E217" s="20">
        <f>IF(OR(D217="",$B$18=""),"",D217/$B$18)</f>
        <v/>
      </c>
      <c r="F217" s="29">
        <f>IF(OR(C217="",$B$18=""),"",C217*60/$B$18)</f>
        <v/>
      </c>
    </row>
    <row r="218">
      <c r="A218" s="26" t="n"/>
      <c r="B218" s="44" t="n"/>
      <c r="C218" s="45">
        <f>IF(B218="","",$B$15*(B218-$B$14))</f>
        <v/>
      </c>
      <c r="D218" s="46">
        <f>IF(OR(A218="",C218="",D217="",C217=""),"",D217+(C217+C218)/2*(A218-A217)*60)</f>
        <v/>
      </c>
      <c r="E218" s="20">
        <f>IF(OR(D218="",$B$18=""),"",D218/$B$18)</f>
        <v/>
      </c>
      <c r="F218" s="29">
        <f>IF(OR(C218="",$B$18=""),"",C218*60/$B$18)</f>
        <v/>
      </c>
    </row>
    <row r="219">
      <c r="A219" s="26" t="n"/>
      <c r="B219" s="44" t="n"/>
      <c r="C219" s="45">
        <f>IF(B219="","",$B$15*(B219-$B$14))</f>
        <v/>
      </c>
      <c r="D219" s="46">
        <f>IF(OR(A219="",C219="",D218="",C218=""),"",D218+(C218+C219)/2*(A219-A218)*60)</f>
        <v/>
      </c>
      <c r="E219" s="20">
        <f>IF(OR(D219="",$B$18=""),"",D219/$B$18)</f>
        <v/>
      </c>
      <c r="F219" s="29">
        <f>IF(OR(C219="",$B$18=""),"",C219*60/$B$18)</f>
        <v/>
      </c>
    </row>
    <row r="220">
      <c r="A220" s="26" t="n"/>
      <c r="B220" s="44" t="n"/>
      <c r="C220" s="45">
        <f>IF(B220="","",$B$15*(B220-$B$14))</f>
        <v/>
      </c>
      <c r="D220" s="46">
        <f>IF(OR(A220="",C220="",D219="",C219=""),"",D219+(C219+C220)/2*(A220-A219)*60)</f>
        <v/>
      </c>
      <c r="E220" s="20">
        <f>IF(OR(D220="",$B$18=""),"",D220/$B$18)</f>
        <v/>
      </c>
      <c r="F220" s="29">
        <f>IF(OR(C220="",$B$18=""),"",C220*60/$B$18)</f>
        <v/>
      </c>
    </row>
    <row r="221">
      <c r="A221" s="26" t="n"/>
      <c r="B221" s="44" t="n"/>
      <c r="C221" s="45">
        <f>IF(B221="","",$B$15*(B221-$B$14))</f>
        <v/>
      </c>
      <c r="D221" s="46">
        <f>IF(OR(A221="",C221="",D220="",C220=""),"",D220+(C220+C221)/2*(A221-A220)*60)</f>
        <v/>
      </c>
      <c r="E221" s="20">
        <f>IF(OR(D221="",$B$18=""),"",D221/$B$18)</f>
        <v/>
      </c>
      <c r="F221" s="29">
        <f>IF(OR(C221="",$B$18=""),"",C221*60/$B$18)</f>
        <v/>
      </c>
    </row>
    <row r="222">
      <c r="A222" s="26" t="n"/>
      <c r="B222" s="44" t="n"/>
      <c r="C222" s="45">
        <f>IF(B222="","",$B$15*(B222-$B$14))</f>
        <v/>
      </c>
      <c r="D222" s="46">
        <f>IF(OR(A222="",C222="",D221="",C221=""),"",D221+(C221+C222)/2*(A222-A221)*60)</f>
        <v/>
      </c>
      <c r="E222" s="20">
        <f>IF(OR(D222="",$B$18=""),"",D222/$B$18)</f>
        <v/>
      </c>
      <c r="F222" s="29">
        <f>IF(OR(C222="",$B$18=""),"",C222*60/$B$18)</f>
        <v/>
      </c>
    </row>
    <row r="223">
      <c r="A223" s="26" t="n"/>
      <c r="B223" s="44" t="n"/>
      <c r="C223" s="45">
        <f>IF(B223="","",$B$15*(B223-$B$14))</f>
        <v/>
      </c>
      <c r="D223" s="46">
        <f>IF(OR(A223="",C223="",D222="",C222=""),"",D222+(C222+C223)/2*(A223-A222)*60)</f>
        <v/>
      </c>
      <c r="E223" s="20">
        <f>IF(OR(D223="",$B$18=""),"",D223/$B$18)</f>
        <v/>
      </c>
      <c r="F223" s="29">
        <f>IF(OR(C223="",$B$18=""),"",C223*60/$B$18)</f>
        <v/>
      </c>
    </row>
    <row r="224">
      <c r="A224" s="26" t="n"/>
      <c r="B224" s="44" t="n"/>
      <c r="C224" s="45">
        <f>IF(B224="","",$B$15*(B224-$B$14))</f>
        <v/>
      </c>
      <c r="D224" s="46">
        <f>IF(OR(A224="",C224="",D223="",C223=""),"",D223+(C223+C224)/2*(A224-A223)*60)</f>
        <v/>
      </c>
      <c r="E224" s="20">
        <f>IF(OR(D224="",$B$18=""),"",D224/$B$18)</f>
        <v/>
      </c>
      <c r="F224" s="29">
        <f>IF(OR(C224="",$B$18=""),"",C224*60/$B$18)</f>
        <v/>
      </c>
    </row>
    <row r="225">
      <c r="A225" s="26" t="n"/>
      <c r="B225" s="44" t="n"/>
      <c r="C225" s="45">
        <f>IF(B225="","",$B$15*(B225-$B$14))</f>
        <v/>
      </c>
      <c r="D225" s="46">
        <f>IF(OR(A225="",C225="",D224="",C224=""),"",D224+(C224+C225)/2*(A225-A224)*60)</f>
        <v/>
      </c>
      <c r="E225" s="20">
        <f>IF(OR(D225="",$B$18=""),"",D225/$B$18)</f>
        <v/>
      </c>
      <c r="F225" s="29">
        <f>IF(OR(C225="",$B$18=""),"",C225*60/$B$18)</f>
        <v/>
      </c>
    </row>
    <row r="226">
      <c r="A226" s="26" t="n"/>
      <c r="B226" s="44" t="n"/>
      <c r="C226" s="45">
        <f>IF(B226="","",$B$15*(B226-$B$14))</f>
        <v/>
      </c>
      <c r="D226" s="46">
        <f>IF(OR(A226="",C226="",D225="",C225=""),"",D225+(C225+C226)/2*(A226-A225)*60)</f>
        <v/>
      </c>
      <c r="E226" s="20">
        <f>IF(OR(D226="",$B$18=""),"",D226/$B$18)</f>
        <v/>
      </c>
      <c r="F226" s="29">
        <f>IF(OR(C226="",$B$18=""),"",C226*60/$B$18)</f>
        <v/>
      </c>
    </row>
    <row r="227">
      <c r="A227" s="26" t="n"/>
      <c r="B227" s="44" t="n"/>
      <c r="C227" s="45">
        <f>IF(B227="","",$B$15*(B227-$B$14))</f>
        <v/>
      </c>
      <c r="D227" s="46">
        <f>IF(OR(A227="",C227="",D226="",C226=""),"",D226+(C226+C227)/2*(A227-A226)*60)</f>
        <v/>
      </c>
      <c r="E227" s="20">
        <f>IF(OR(D227="",$B$18=""),"",D227/$B$18)</f>
        <v/>
      </c>
      <c r="F227" s="29">
        <f>IF(OR(C227="",$B$18=""),"",C227*60/$B$18)</f>
        <v/>
      </c>
    </row>
    <row r="228">
      <c r="A228" s="26" t="n"/>
      <c r="B228" s="44" t="n"/>
      <c r="C228" s="45">
        <f>IF(B228="","",$B$15*(B228-$B$14))</f>
        <v/>
      </c>
      <c r="D228" s="46">
        <f>IF(OR(A228="",C228="",D227="",C227=""),"",D227+(C227+C228)/2*(A228-A227)*60)</f>
        <v/>
      </c>
      <c r="E228" s="20">
        <f>IF(OR(D228="",$B$18=""),"",D228/$B$18)</f>
        <v/>
      </c>
      <c r="F228" s="29">
        <f>IF(OR(C228="",$B$18=""),"",C228*60/$B$18)</f>
        <v/>
      </c>
    </row>
    <row r="229">
      <c r="A229" s="26" t="n"/>
      <c r="B229" s="44" t="n"/>
      <c r="C229" s="45">
        <f>IF(B229="","",$B$15*(B229-$B$14))</f>
        <v/>
      </c>
      <c r="D229" s="46">
        <f>IF(OR(A229="",C229="",D228="",C228=""),"",D228+(C228+C229)/2*(A229-A228)*60)</f>
        <v/>
      </c>
      <c r="E229" s="20">
        <f>IF(OR(D229="",$B$18=""),"",D229/$B$18)</f>
        <v/>
      </c>
      <c r="F229" s="29">
        <f>IF(OR(C229="",$B$18=""),"",C229*60/$B$18)</f>
        <v/>
      </c>
    </row>
    <row r="230">
      <c r="A230" s="26" t="n"/>
      <c r="B230" s="44" t="n"/>
      <c r="C230" s="45">
        <f>IF(B230="","",$B$15*(B230-$B$14))</f>
        <v/>
      </c>
      <c r="D230" s="46">
        <f>IF(OR(A230="",C230="",D229="",C229=""),"",D229+(C229+C230)/2*(A230-A229)*60)</f>
        <v/>
      </c>
      <c r="E230" s="20">
        <f>IF(OR(D230="",$B$18=""),"",D230/$B$18)</f>
        <v/>
      </c>
      <c r="F230" s="29">
        <f>IF(OR(C230="",$B$18=""),"",C230*60/$B$18)</f>
        <v/>
      </c>
    </row>
    <row r="231">
      <c r="A231" s="26" t="n"/>
      <c r="B231" s="44" t="n"/>
      <c r="C231" s="45">
        <f>IF(B231="","",$B$15*(B231-$B$14))</f>
        <v/>
      </c>
      <c r="D231" s="46">
        <f>IF(OR(A231="",C231="",D230="",C230=""),"",D230+(C230+C231)/2*(A231-A230)*60)</f>
        <v/>
      </c>
      <c r="E231" s="20">
        <f>IF(OR(D231="",$B$18=""),"",D231/$B$18)</f>
        <v/>
      </c>
      <c r="F231" s="29">
        <f>IF(OR(C231="",$B$18=""),"",C231*60/$B$18)</f>
        <v/>
      </c>
    </row>
    <row r="232">
      <c r="A232" s="26" t="n"/>
      <c r="B232" s="44" t="n"/>
      <c r="C232" s="45">
        <f>IF(B232="","",$B$15*(B232-$B$14))</f>
        <v/>
      </c>
      <c r="D232" s="46">
        <f>IF(OR(A232="",C232="",D231="",C231=""),"",D231+(C231+C232)/2*(A232-A231)*60)</f>
        <v/>
      </c>
      <c r="E232" s="20">
        <f>IF(OR(D232="",$B$18=""),"",D232/$B$18)</f>
        <v/>
      </c>
      <c r="F232" s="29">
        <f>IF(OR(C232="",$B$18=""),"",C232*60/$B$18)</f>
        <v/>
      </c>
    </row>
    <row r="233">
      <c r="A233" s="26" t="n"/>
      <c r="B233" s="44" t="n"/>
      <c r="C233" s="45">
        <f>IF(B233="","",$B$15*(B233-$B$14))</f>
        <v/>
      </c>
      <c r="D233" s="46">
        <f>IF(OR(A233="",C233="",D232="",C232=""),"",D232+(C232+C233)/2*(A233-A232)*60)</f>
        <v/>
      </c>
      <c r="E233" s="20">
        <f>IF(OR(D233="",$B$18=""),"",D233/$B$18)</f>
        <v/>
      </c>
      <c r="F233" s="29">
        <f>IF(OR(C233="",$B$18=""),"",C233*60/$B$18)</f>
        <v/>
      </c>
    </row>
    <row r="234">
      <c r="A234" s="26" t="n"/>
      <c r="B234" s="44" t="n"/>
      <c r="C234" s="45">
        <f>IF(B234="","",$B$15*(B234-$B$14))</f>
        <v/>
      </c>
      <c r="D234" s="46">
        <f>IF(OR(A234="",C234="",D233="",C233=""),"",D233+(C233+C234)/2*(A234-A233)*60)</f>
        <v/>
      </c>
      <c r="E234" s="20">
        <f>IF(OR(D234="",$B$18=""),"",D234/$B$18)</f>
        <v/>
      </c>
      <c r="F234" s="29">
        <f>IF(OR(C234="",$B$18=""),"",C234*60/$B$18)</f>
        <v/>
      </c>
    </row>
    <row r="235">
      <c r="A235" s="26" t="n"/>
      <c r="B235" s="44" t="n"/>
      <c r="C235" s="45">
        <f>IF(B235="","",$B$15*(B235-$B$14))</f>
        <v/>
      </c>
      <c r="D235" s="46">
        <f>IF(OR(A235="",C235="",D234="",C234=""),"",D234+(C234+C235)/2*(A235-A234)*60)</f>
        <v/>
      </c>
      <c r="E235" s="20">
        <f>IF(OR(D235="",$B$18=""),"",D235/$B$18)</f>
        <v/>
      </c>
      <c r="F235" s="29">
        <f>IF(OR(C235="",$B$18=""),"",C235*60/$B$18)</f>
        <v/>
      </c>
    </row>
    <row r="236">
      <c r="A236" s="26" t="n"/>
      <c r="B236" s="44" t="n"/>
      <c r="C236" s="45">
        <f>IF(B236="","",$B$15*(B236-$B$14))</f>
        <v/>
      </c>
      <c r="D236" s="46">
        <f>IF(OR(A236="",C236="",D235="",C235=""),"",D235+(C235+C236)/2*(A236-A235)*60)</f>
        <v/>
      </c>
      <c r="E236" s="20">
        <f>IF(OR(D236="",$B$18=""),"",D236/$B$18)</f>
        <v/>
      </c>
      <c r="F236" s="29">
        <f>IF(OR(C236="",$B$18=""),"",C236*60/$B$18)</f>
        <v/>
      </c>
    </row>
    <row r="237">
      <c r="A237" s="26" t="n"/>
      <c r="B237" s="44" t="n"/>
      <c r="C237" s="45">
        <f>IF(B237="","",$B$15*(B237-$B$14))</f>
        <v/>
      </c>
      <c r="D237" s="46">
        <f>IF(OR(A237="",C237="",D236="",C236=""),"",D236+(C236+C237)/2*(A237-A236)*60)</f>
        <v/>
      </c>
      <c r="E237" s="20">
        <f>IF(OR(D237="",$B$18=""),"",D237/$B$18)</f>
        <v/>
      </c>
      <c r="F237" s="29">
        <f>IF(OR(C237="",$B$18=""),"",C237*60/$B$18)</f>
        <v/>
      </c>
    </row>
    <row r="238">
      <c r="A238" s="26" t="n"/>
      <c r="B238" s="44" t="n"/>
      <c r="C238" s="45">
        <f>IF(B238="","",$B$15*(B238-$B$14))</f>
        <v/>
      </c>
      <c r="D238" s="46">
        <f>IF(OR(A238="",C238="",D237="",C237=""),"",D237+(C237+C238)/2*(A238-A237)*60)</f>
        <v/>
      </c>
      <c r="E238" s="20">
        <f>IF(OR(D238="",$B$18=""),"",D238/$B$18)</f>
        <v/>
      </c>
      <c r="F238" s="29">
        <f>IF(OR(C238="",$B$18=""),"",C238*60/$B$18)</f>
        <v/>
      </c>
    </row>
    <row r="239">
      <c r="A239" s="26" t="n"/>
      <c r="B239" s="44" t="n"/>
      <c r="C239" s="45">
        <f>IF(B239="","",$B$15*(B239-$B$14))</f>
        <v/>
      </c>
      <c r="D239" s="46">
        <f>IF(OR(A239="",C239="",D238="",C238=""),"",D238+(C238+C239)/2*(A239-A238)*60)</f>
        <v/>
      </c>
      <c r="E239" s="20">
        <f>IF(OR(D239="",$B$18=""),"",D239/$B$18)</f>
        <v/>
      </c>
      <c r="F239" s="29">
        <f>IF(OR(C239="",$B$18=""),"",C239*60/$B$18)</f>
        <v/>
      </c>
    </row>
    <row r="240">
      <c r="A240" s="26" t="n"/>
      <c r="B240" s="44" t="n"/>
      <c r="C240" s="45">
        <f>IF(B240="","",$B$15*(B240-$B$14))</f>
        <v/>
      </c>
      <c r="D240" s="46">
        <f>IF(OR(A240="",C240="",D239="",C239=""),"",D239+(C239+C240)/2*(A240-A239)*60)</f>
        <v/>
      </c>
      <c r="E240" s="20">
        <f>IF(OR(D240="",$B$18=""),"",D240/$B$18)</f>
        <v/>
      </c>
      <c r="F240" s="29">
        <f>IF(OR(C240="",$B$18=""),"",C240*60/$B$18)</f>
        <v/>
      </c>
    </row>
    <row r="241">
      <c r="A241" s="26" t="n"/>
      <c r="B241" s="44" t="n"/>
      <c r="C241" s="45">
        <f>IF(B241="","",$B$15*(B241-$B$14))</f>
        <v/>
      </c>
      <c r="D241" s="46">
        <f>IF(OR(A241="",C241="",D240="",C240=""),"",D240+(C240+C241)/2*(A241-A240)*60)</f>
        <v/>
      </c>
      <c r="E241" s="20">
        <f>IF(OR(D241="",$B$18=""),"",D241/$B$18)</f>
        <v/>
      </c>
      <c r="F241" s="29">
        <f>IF(OR(C241="",$B$18=""),"",C241*60/$B$18)</f>
        <v/>
      </c>
    </row>
    <row r="242">
      <c r="A242" s="26" t="n"/>
      <c r="B242" s="44" t="n"/>
      <c r="C242" s="45">
        <f>IF(B242="","",$B$15*(B242-$B$14))</f>
        <v/>
      </c>
      <c r="D242" s="46">
        <f>IF(OR(A242="",C242="",D241="",C241=""),"",D241+(C241+C242)/2*(A242-A241)*60)</f>
        <v/>
      </c>
      <c r="E242" s="20">
        <f>IF(OR(D242="",$B$18=""),"",D242/$B$18)</f>
        <v/>
      </c>
      <c r="F242" s="29">
        <f>IF(OR(C242="",$B$18=""),"",C242*60/$B$18)</f>
        <v/>
      </c>
    </row>
    <row r="243">
      <c r="A243" s="26" t="n"/>
      <c r="B243" s="44" t="n"/>
      <c r="C243" s="45">
        <f>IF(B243="","",$B$15*(B243-$B$14))</f>
        <v/>
      </c>
      <c r="D243" s="46">
        <f>IF(OR(A243="",C243="",D242="",C242=""),"",D242+(C242+C243)/2*(A243-A242)*60)</f>
        <v/>
      </c>
      <c r="E243" s="20">
        <f>IF(OR(D243="",$B$18=""),"",D243/$B$18)</f>
        <v/>
      </c>
      <c r="F243" s="29">
        <f>IF(OR(C243="",$B$18=""),"",C243*60/$B$18)</f>
        <v/>
      </c>
    </row>
    <row r="244">
      <c r="A244" s="26" t="n"/>
      <c r="B244" s="44" t="n"/>
      <c r="C244" s="45">
        <f>IF(B244="","",$B$15*(B244-$B$14))</f>
        <v/>
      </c>
      <c r="D244" s="46">
        <f>IF(OR(A244="",C244="",D243="",C243=""),"",D243+(C243+C244)/2*(A244-A243)*60)</f>
        <v/>
      </c>
      <c r="E244" s="20">
        <f>IF(OR(D244="",$B$18=""),"",D244/$B$18)</f>
        <v/>
      </c>
      <c r="F244" s="29">
        <f>IF(OR(C244="",$B$18=""),"",C244*60/$B$18)</f>
        <v/>
      </c>
    </row>
    <row r="245">
      <c r="A245" s="26" t="n"/>
      <c r="B245" s="44" t="n"/>
      <c r="C245" s="45">
        <f>IF(B245="","",$B$15*(B245-$B$14))</f>
        <v/>
      </c>
      <c r="D245" s="46">
        <f>IF(OR(A245="",C245="",D244="",C244=""),"",D244+(C244+C245)/2*(A245-A244)*60)</f>
        <v/>
      </c>
      <c r="E245" s="20">
        <f>IF(OR(D245="",$B$18=""),"",D245/$B$18)</f>
        <v/>
      </c>
      <c r="F245" s="29">
        <f>IF(OR(C245="",$B$18=""),"",C245*60/$B$18)</f>
        <v/>
      </c>
    </row>
    <row r="246">
      <c r="A246" s="26" t="n"/>
      <c r="B246" s="44" t="n"/>
      <c r="C246" s="45">
        <f>IF(B246="","",$B$15*(B246-$B$14))</f>
        <v/>
      </c>
      <c r="D246" s="46">
        <f>IF(OR(A246="",C246="",D245="",C245=""),"",D245+(C245+C246)/2*(A246-A245)*60)</f>
        <v/>
      </c>
      <c r="E246" s="20">
        <f>IF(OR(D246="",$B$18=""),"",D246/$B$18)</f>
        <v/>
      </c>
      <c r="F246" s="29">
        <f>IF(OR(C246="",$B$18=""),"",C246*60/$B$18)</f>
        <v/>
      </c>
    </row>
    <row r="247">
      <c r="A247" s="26" t="n"/>
      <c r="B247" s="44" t="n"/>
      <c r="C247" s="45">
        <f>IF(B247="","",$B$15*(B247-$B$14))</f>
        <v/>
      </c>
      <c r="D247" s="46">
        <f>IF(OR(A247="",C247="",D246="",C246=""),"",D246+(C246+C247)/2*(A247-A246)*60)</f>
        <v/>
      </c>
      <c r="E247" s="20">
        <f>IF(OR(D247="",$B$18=""),"",D247/$B$18)</f>
        <v/>
      </c>
      <c r="F247" s="29">
        <f>IF(OR(C247="",$B$18=""),"",C247*60/$B$18)</f>
        <v/>
      </c>
    </row>
    <row r="248">
      <c r="A248" s="26" t="n"/>
      <c r="B248" s="44" t="n"/>
      <c r="C248" s="45">
        <f>IF(B248="","",$B$15*(B248-$B$14))</f>
        <v/>
      </c>
      <c r="D248" s="46">
        <f>IF(OR(A248="",C248="",D247="",C247=""),"",D247+(C247+C248)/2*(A248-A247)*60)</f>
        <v/>
      </c>
      <c r="E248" s="20">
        <f>IF(OR(D248="",$B$18=""),"",D248/$B$18)</f>
        <v/>
      </c>
      <c r="F248" s="29">
        <f>IF(OR(C248="",$B$18=""),"",C248*60/$B$18)</f>
        <v/>
      </c>
    </row>
    <row r="249">
      <c r="A249" s="26" t="n"/>
      <c r="B249" s="44" t="n"/>
      <c r="C249" s="45">
        <f>IF(B249="","",$B$15*(B249-$B$14))</f>
        <v/>
      </c>
      <c r="D249" s="46">
        <f>IF(OR(A249="",C249="",D248="",C248=""),"",D248+(C248+C249)/2*(A249-A248)*60)</f>
        <v/>
      </c>
      <c r="E249" s="20">
        <f>IF(OR(D249="",$B$18=""),"",D249/$B$18)</f>
        <v/>
      </c>
      <c r="F249" s="29">
        <f>IF(OR(C249="",$B$18=""),"",C249*60/$B$18)</f>
        <v/>
      </c>
    </row>
    <row r="250">
      <c r="A250" s="26" t="n"/>
      <c r="B250" s="44" t="n"/>
      <c r="C250" s="45">
        <f>IF(B250="","",$B$15*(B250-$B$14))</f>
        <v/>
      </c>
      <c r="D250" s="46">
        <f>IF(OR(A250="",C250="",D249="",C249=""),"",D249+(C249+C250)/2*(A250-A249)*60)</f>
        <v/>
      </c>
      <c r="E250" s="20">
        <f>IF(OR(D250="",$B$18=""),"",D250/$B$18)</f>
        <v/>
      </c>
      <c r="F250" s="29">
        <f>IF(OR(C250="",$B$18=""),"",C250*60/$B$18)</f>
        <v/>
      </c>
    </row>
    <row r="251">
      <c r="A251" s="26" t="n"/>
      <c r="B251" s="44" t="n"/>
      <c r="C251" s="45">
        <f>IF(B251="","",$B$15*(B251-$B$14))</f>
        <v/>
      </c>
      <c r="D251" s="46">
        <f>IF(OR(A251="",C251="",D250="",C250=""),"",D250+(C250+C251)/2*(A251-A250)*60)</f>
        <v/>
      </c>
      <c r="E251" s="20">
        <f>IF(OR(D251="",$B$18=""),"",D251/$B$18)</f>
        <v/>
      </c>
      <c r="F251" s="29">
        <f>IF(OR(C251="",$B$18=""),"",C251*60/$B$18)</f>
        <v/>
      </c>
    </row>
    <row r="252">
      <c r="A252" s="26" t="n"/>
      <c r="B252" s="44" t="n"/>
      <c r="C252" s="45">
        <f>IF(B252="","",$B$15*(B252-$B$14))</f>
        <v/>
      </c>
      <c r="D252" s="46">
        <f>IF(OR(A252="",C252="",D251="",C251=""),"",D251+(C251+C252)/2*(A252-A251)*60)</f>
        <v/>
      </c>
      <c r="E252" s="20">
        <f>IF(OR(D252="",$B$18=""),"",D252/$B$18)</f>
        <v/>
      </c>
      <c r="F252" s="29">
        <f>IF(OR(C252="",$B$18=""),"",C252*60/$B$18)</f>
        <v/>
      </c>
    </row>
    <row r="253">
      <c r="A253" s="26" t="n"/>
      <c r="B253" s="44" t="n"/>
      <c r="C253" s="45">
        <f>IF(B253="","",$B$15*(B253-$B$14))</f>
        <v/>
      </c>
      <c r="D253" s="46">
        <f>IF(OR(A253="",C253="",D252="",C252=""),"",D252+(C252+C253)/2*(A253-A252)*60)</f>
        <v/>
      </c>
      <c r="E253" s="20">
        <f>IF(OR(D253="",$B$18=""),"",D253/$B$18)</f>
        <v/>
      </c>
      <c r="F253" s="29">
        <f>IF(OR(C253="",$B$18=""),"",C253*60/$B$18)</f>
        <v/>
      </c>
    </row>
    <row r="254">
      <c r="A254" s="26" t="n"/>
      <c r="B254" s="44" t="n"/>
      <c r="C254" s="45">
        <f>IF(B254="","",$B$15*(B254-$B$14))</f>
        <v/>
      </c>
      <c r="D254" s="46">
        <f>IF(OR(A254="",C254="",D253="",C253=""),"",D253+(C253+C254)/2*(A254-A253)*60)</f>
        <v/>
      </c>
      <c r="E254" s="20">
        <f>IF(OR(D254="",$B$18=""),"",D254/$B$18)</f>
        <v/>
      </c>
      <c r="F254" s="29">
        <f>IF(OR(C254="",$B$18=""),"",C254*60/$B$18)</f>
        <v/>
      </c>
    </row>
    <row r="255">
      <c r="A255" s="26" t="n"/>
      <c r="B255" s="44" t="n"/>
      <c r="C255" s="45">
        <f>IF(B255="","",$B$15*(B255-$B$14))</f>
        <v/>
      </c>
      <c r="D255" s="46">
        <f>IF(OR(A255="",C255="",D254="",C254=""),"",D254+(C254+C255)/2*(A255-A254)*60)</f>
        <v/>
      </c>
      <c r="E255" s="20">
        <f>IF(OR(D255="",$B$18=""),"",D255/$B$18)</f>
        <v/>
      </c>
      <c r="F255" s="29">
        <f>IF(OR(C255="",$B$18=""),"",C255*60/$B$18)</f>
        <v/>
      </c>
    </row>
    <row r="256">
      <c r="A256" s="26" t="n"/>
      <c r="B256" s="44" t="n"/>
      <c r="C256" s="45">
        <f>IF(B256="","",$B$15*(B256-$B$14))</f>
        <v/>
      </c>
      <c r="D256" s="46">
        <f>IF(OR(A256="",C256="",D255="",C255=""),"",D255+(C255+C256)/2*(A256-A255)*60)</f>
        <v/>
      </c>
      <c r="E256" s="20">
        <f>IF(OR(D256="",$B$18=""),"",D256/$B$18)</f>
        <v/>
      </c>
      <c r="F256" s="29">
        <f>IF(OR(C256="",$B$18=""),"",C256*60/$B$18)</f>
        <v/>
      </c>
    </row>
    <row r="257">
      <c r="A257" s="26" t="n"/>
      <c r="B257" s="44" t="n"/>
      <c r="C257" s="45">
        <f>IF(B257="","",$B$15*(B257-$B$14))</f>
        <v/>
      </c>
      <c r="D257" s="46">
        <f>IF(OR(A257="",C257="",D256="",C256=""),"",D256+(C256+C257)/2*(A257-A256)*60)</f>
        <v/>
      </c>
      <c r="E257" s="20">
        <f>IF(OR(D257="",$B$18=""),"",D257/$B$18)</f>
        <v/>
      </c>
      <c r="F257" s="29">
        <f>IF(OR(C257="",$B$18=""),"",C257*60/$B$18)</f>
        <v/>
      </c>
    </row>
    <row r="258">
      <c r="A258" s="26" t="n"/>
      <c r="B258" s="44" t="n"/>
      <c r="C258" s="45">
        <f>IF(B258="","",$B$15*(B258-$B$14))</f>
        <v/>
      </c>
      <c r="D258" s="46">
        <f>IF(OR(A258="",C258="",D257="",C257=""),"",D257+(C257+C258)/2*(A258-A257)*60)</f>
        <v/>
      </c>
      <c r="E258" s="20">
        <f>IF(OR(D258="",$B$18=""),"",D258/$B$18)</f>
        <v/>
      </c>
      <c r="F258" s="29">
        <f>IF(OR(C258="",$B$18=""),"",C258*60/$B$18)</f>
        <v/>
      </c>
    </row>
    <row r="259">
      <c r="A259" s="26" t="n"/>
      <c r="B259" s="44" t="n"/>
      <c r="C259" s="45">
        <f>IF(B259="","",$B$15*(B259-$B$14))</f>
        <v/>
      </c>
      <c r="D259" s="46">
        <f>IF(OR(A259="",C259="",D258="",C258=""),"",D258+(C258+C259)/2*(A259-A258)*60)</f>
        <v/>
      </c>
      <c r="E259" s="20">
        <f>IF(OR(D259="",$B$18=""),"",D259/$B$18)</f>
        <v/>
      </c>
      <c r="F259" s="29">
        <f>IF(OR(C259="",$B$18=""),"",C259*60/$B$18)</f>
        <v/>
      </c>
    </row>
    <row r="260">
      <c r="A260" s="26" t="n"/>
      <c r="B260" s="44" t="n"/>
      <c r="C260" s="45">
        <f>IF(B260="","",$B$15*(B260-$B$14))</f>
        <v/>
      </c>
      <c r="D260" s="46">
        <f>IF(OR(A260="",C260="",D259="",C259=""),"",D259+(C259+C260)/2*(A260-A259)*60)</f>
        <v/>
      </c>
      <c r="E260" s="20">
        <f>IF(OR(D260="",$B$18=""),"",D260/$B$18)</f>
        <v/>
      </c>
      <c r="F260" s="29">
        <f>IF(OR(C260="",$B$18=""),"",C260*60/$B$18)</f>
        <v/>
      </c>
    </row>
    <row r="261">
      <c r="A261" s="26" t="n"/>
      <c r="B261" s="44" t="n"/>
      <c r="C261" s="45">
        <f>IF(B261="","",$B$15*(B261-$B$14))</f>
        <v/>
      </c>
      <c r="D261" s="46">
        <f>IF(OR(A261="",C261="",D260="",C260=""),"",D260+(C260+C261)/2*(A261-A260)*60)</f>
        <v/>
      </c>
      <c r="E261" s="20">
        <f>IF(OR(D261="",$B$18=""),"",D261/$B$18)</f>
        <v/>
      </c>
      <c r="F261" s="29">
        <f>IF(OR(C261="",$B$18=""),"",C261*60/$B$18)</f>
        <v/>
      </c>
    </row>
    <row r="262">
      <c r="A262" s="26" t="n"/>
      <c r="B262" s="44" t="n"/>
      <c r="C262" s="45">
        <f>IF(B262="","",$B$15*(B262-$B$14))</f>
        <v/>
      </c>
      <c r="D262" s="46">
        <f>IF(OR(A262="",C262="",D261="",C261=""),"",D261+(C261+C262)/2*(A262-A261)*60)</f>
        <v/>
      </c>
      <c r="E262" s="20">
        <f>IF(OR(D262="",$B$18=""),"",D262/$B$18)</f>
        <v/>
      </c>
      <c r="F262" s="29">
        <f>IF(OR(C262="",$B$18=""),"",C262*60/$B$18)</f>
        <v/>
      </c>
    </row>
    <row r="263">
      <c r="A263" s="26" t="n"/>
      <c r="B263" s="44" t="n"/>
      <c r="C263" s="45">
        <f>IF(B263="","",$B$15*(B263-$B$14))</f>
        <v/>
      </c>
      <c r="D263" s="46">
        <f>IF(OR(A263="",C263="",D262="",C262=""),"",D262+(C262+C263)/2*(A263-A262)*60)</f>
        <v/>
      </c>
      <c r="E263" s="20">
        <f>IF(OR(D263="",$B$18=""),"",D263/$B$18)</f>
        <v/>
      </c>
      <c r="F263" s="29">
        <f>IF(OR(C263="",$B$18=""),"",C263*60/$B$18)</f>
        <v/>
      </c>
    </row>
    <row r="264">
      <c r="A264" s="26" t="n"/>
      <c r="B264" s="44" t="n"/>
      <c r="C264" s="45">
        <f>IF(B264="","",$B$15*(B264-$B$14))</f>
        <v/>
      </c>
      <c r="D264" s="46">
        <f>IF(OR(A264="",C264="",D263="",C263=""),"",D263+(C263+C264)/2*(A264-A263)*60)</f>
        <v/>
      </c>
      <c r="E264" s="20">
        <f>IF(OR(D264="",$B$18=""),"",D264/$B$18)</f>
        <v/>
      </c>
      <c r="F264" s="29">
        <f>IF(OR(C264="",$B$18=""),"",C264*60/$B$18)</f>
        <v/>
      </c>
    </row>
    <row r="265">
      <c r="A265" s="26" t="n"/>
      <c r="B265" s="44" t="n"/>
      <c r="C265" s="45">
        <f>IF(B265="","",$B$15*(B265-$B$14))</f>
        <v/>
      </c>
      <c r="D265" s="46">
        <f>IF(OR(A265="",C265="",D264="",C264=""),"",D264+(C264+C265)/2*(A265-A264)*60)</f>
        <v/>
      </c>
      <c r="E265" s="20">
        <f>IF(OR(D265="",$B$18=""),"",D265/$B$18)</f>
        <v/>
      </c>
      <c r="F265" s="29">
        <f>IF(OR(C265="",$B$18=""),"",C265*60/$B$18)</f>
        <v/>
      </c>
    </row>
    <row r="266">
      <c r="A266" s="26" t="n"/>
      <c r="B266" s="44" t="n"/>
      <c r="C266" s="45">
        <f>IF(B266="","",$B$15*(B266-$B$14))</f>
        <v/>
      </c>
      <c r="D266" s="46">
        <f>IF(OR(A266="",C266="",D265="",C265=""),"",D265+(C265+C266)/2*(A266-A265)*60)</f>
        <v/>
      </c>
      <c r="E266" s="20">
        <f>IF(OR(D266="",$B$18=""),"",D266/$B$18)</f>
        <v/>
      </c>
      <c r="F266" s="29">
        <f>IF(OR(C266="",$B$18=""),"",C266*60/$B$18)</f>
        <v/>
      </c>
    </row>
    <row r="267">
      <c r="A267" s="26" t="n"/>
      <c r="B267" s="44" t="n"/>
      <c r="C267" s="45">
        <f>IF(B267="","",$B$15*(B267-$B$14))</f>
        <v/>
      </c>
      <c r="D267" s="46">
        <f>IF(OR(A267="",C267="",D266="",C266=""),"",D266+(C266+C267)/2*(A267-A266)*60)</f>
        <v/>
      </c>
      <c r="E267" s="20">
        <f>IF(OR(D267="",$B$18=""),"",D267/$B$18)</f>
        <v/>
      </c>
      <c r="F267" s="29">
        <f>IF(OR(C267="",$B$18=""),"",C267*60/$B$18)</f>
        <v/>
      </c>
    </row>
    <row r="268">
      <c r="A268" s="26" t="n"/>
      <c r="B268" s="44" t="n"/>
      <c r="C268" s="45">
        <f>IF(B268="","",$B$15*(B268-$B$14))</f>
        <v/>
      </c>
      <c r="D268" s="46">
        <f>IF(OR(A268="",C268="",D267="",C267=""),"",D267+(C267+C268)/2*(A268-A267)*60)</f>
        <v/>
      </c>
      <c r="E268" s="20">
        <f>IF(OR(D268="",$B$18=""),"",D268/$B$18)</f>
        <v/>
      </c>
      <c r="F268" s="29">
        <f>IF(OR(C268="",$B$18=""),"",C268*60/$B$18)</f>
        <v/>
      </c>
    </row>
    <row r="269">
      <c r="A269" s="26" t="n"/>
      <c r="B269" s="44" t="n"/>
      <c r="C269" s="45">
        <f>IF(B269="","",$B$15*(B269-$B$14))</f>
        <v/>
      </c>
      <c r="D269" s="46">
        <f>IF(OR(A269="",C269="",D268="",C268=""),"",D268+(C268+C269)/2*(A269-A268)*60)</f>
        <v/>
      </c>
      <c r="E269" s="20">
        <f>IF(OR(D269="",$B$18=""),"",D269/$B$18)</f>
        <v/>
      </c>
      <c r="F269" s="29">
        <f>IF(OR(C269="",$B$18=""),"",C269*60/$B$18)</f>
        <v/>
      </c>
    </row>
    <row r="270">
      <c r="A270" s="26" t="n"/>
      <c r="B270" s="44" t="n"/>
      <c r="C270" s="45">
        <f>IF(B270="","",$B$15*(B270-$B$14))</f>
        <v/>
      </c>
      <c r="D270" s="46">
        <f>IF(OR(A270="",C270="",D269="",C269=""),"",D269+(C269+C270)/2*(A270-A269)*60)</f>
        <v/>
      </c>
      <c r="E270" s="20">
        <f>IF(OR(D270="",$B$18=""),"",D270/$B$18)</f>
        <v/>
      </c>
      <c r="F270" s="29">
        <f>IF(OR(C270="",$B$18=""),"",C270*60/$B$18)</f>
        <v/>
      </c>
    </row>
    <row r="271">
      <c r="A271" s="26" t="n"/>
      <c r="B271" s="44" t="n"/>
      <c r="C271" s="45">
        <f>IF(B271="","",$B$15*(B271-$B$14))</f>
        <v/>
      </c>
      <c r="D271" s="46">
        <f>IF(OR(A271="",C271="",D270="",C270=""),"",D270+(C270+C271)/2*(A271-A270)*60)</f>
        <v/>
      </c>
      <c r="E271" s="20">
        <f>IF(OR(D271="",$B$18=""),"",D271/$B$18)</f>
        <v/>
      </c>
      <c r="F271" s="29">
        <f>IF(OR(C271="",$B$18=""),"",C271*60/$B$18)</f>
        <v/>
      </c>
    </row>
    <row r="272">
      <c r="A272" s="26" t="n"/>
      <c r="B272" s="44" t="n"/>
      <c r="C272" s="45">
        <f>IF(B272="","",$B$15*(B272-$B$14))</f>
        <v/>
      </c>
      <c r="D272" s="46">
        <f>IF(OR(A272="",C272="",D271="",C271=""),"",D271+(C271+C272)/2*(A272-A271)*60)</f>
        <v/>
      </c>
      <c r="E272" s="20">
        <f>IF(OR(D272="",$B$18=""),"",D272/$B$18)</f>
        <v/>
      </c>
      <c r="F272" s="29">
        <f>IF(OR(C272="",$B$18=""),"",C272*60/$B$18)</f>
        <v/>
      </c>
    </row>
    <row r="273">
      <c r="A273" s="26" t="n"/>
      <c r="B273" s="44" t="n"/>
      <c r="C273" s="45">
        <f>IF(B273="","",$B$15*(B273-$B$14))</f>
        <v/>
      </c>
      <c r="D273" s="46">
        <f>IF(OR(A273="",C273="",D272="",C272=""),"",D272+(C272+C273)/2*(A273-A272)*60)</f>
        <v/>
      </c>
      <c r="E273" s="20">
        <f>IF(OR(D273="",$B$18=""),"",D273/$B$18)</f>
        <v/>
      </c>
      <c r="F273" s="29">
        <f>IF(OR(C273="",$B$18=""),"",C273*60/$B$18)</f>
        <v/>
      </c>
    </row>
    <row r="274">
      <c r="A274" s="26" t="n"/>
      <c r="B274" s="44" t="n"/>
      <c r="C274" s="45">
        <f>IF(B274="","",$B$15*(B274-$B$14))</f>
        <v/>
      </c>
      <c r="D274" s="46">
        <f>IF(OR(A274="",C274="",D273="",C273=""),"",D273+(C273+C274)/2*(A274-A273)*60)</f>
        <v/>
      </c>
      <c r="E274" s="20">
        <f>IF(OR(D274="",$B$18=""),"",D274/$B$18)</f>
        <v/>
      </c>
      <c r="F274" s="29">
        <f>IF(OR(C274="",$B$18=""),"",C274*60/$B$18)</f>
        <v/>
      </c>
    </row>
    <row r="275">
      <c r="A275" s="26" t="n"/>
      <c r="B275" s="44" t="n"/>
      <c r="C275" s="45">
        <f>IF(B275="","",$B$15*(B275-$B$14))</f>
        <v/>
      </c>
      <c r="D275" s="46">
        <f>IF(OR(A275="",C275="",D274="",C274=""),"",D274+(C274+C275)/2*(A275-A274)*60)</f>
        <v/>
      </c>
      <c r="E275" s="20">
        <f>IF(OR(D275="",$B$18=""),"",D275/$B$18)</f>
        <v/>
      </c>
      <c r="F275" s="29">
        <f>IF(OR(C275="",$B$18=""),"",C275*60/$B$18)</f>
        <v/>
      </c>
    </row>
    <row r="276">
      <c r="A276" s="26" t="n"/>
      <c r="B276" s="44" t="n"/>
      <c r="C276" s="45">
        <f>IF(B276="","",$B$15*(B276-$B$14))</f>
        <v/>
      </c>
      <c r="D276" s="46">
        <f>IF(OR(A276="",C276="",D275="",C275=""),"",D275+(C275+C276)/2*(A276-A275)*60)</f>
        <v/>
      </c>
      <c r="E276" s="20">
        <f>IF(OR(D276="",$B$18=""),"",D276/$B$18)</f>
        <v/>
      </c>
      <c r="F276" s="29">
        <f>IF(OR(C276="",$B$18=""),"",C276*60/$B$18)</f>
        <v/>
      </c>
    </row>
    <row r="277">
      <c r="A277" s="26" t="n"/>
      <c r="B277" s="44" t="n"/>
      <c r="C277" s="45">
        <f>IF(B277="","",$B$15*(B277-$B$14))</f>
        <v/>
      </c>
      <c r="D277" s="46">
        <f>IF(OR(A277="",C277="",D276="",C276=""),"",D276+(C276+C277)/2*(A277-A276)*60)</f>
        <v/>
      </c>
      <c r="E277" s="20">
        <f>IF(OR(D277="",$B$18=""),"",D277/$B$18)</f>
        <v/>
      </c>
      <c r="F277" s="29">
        <f>IF(OR(C277="",$B$18=""),"",C277*60/$B$18)</f>
        <v/>
      </c>
    </row>
    <row r="278">
      <c r="A278" s="26" t="n"/>
      <c r="B278" s="44" t="n"/>
      <c r="C278" s="45">
        <f>IF(B278="","",$B$15*(B278-$B$14))</f>
        <v/>
      </c>
      <c r="D278" s="46">
        <f>IF(OR(A278="",C278="",D277="",C277=""),"",D277+(C277+C278)/2*(A278-A277)*60)</f>
        <v/>
      </c>
      <c r="E278" s="20">
        <f>IF(OR(D278="",$B$18=""),"",D278/$B$18)</f>
        <v/>
      </c>
      <c r="F278" s="29">
        <f>IF(OR(C278="",$B$18=""),"",C278*60/$B$18)</f>
        <v/>
      </c>
    </row>
    <row r="279">
      <c r="A279" s="26" t="n"/>
      <c r="B279" s="44" t="n"/>
      <c r="C279" s="45">
        <f>IF(B279="","",$B$15*(B279-$B$14))</f>
        <v/>
      </c>
      <c r="D279" s="46">
        <f>IF(OR(A279="",C279="",D278="",C278=""),"",D278+(C278+C279)/2*(A279-A278)*60)</f>
        <v/>
      </c>
      <c r="E279" s="20">
        <f>IF(OR(D279="",$B$18=""),"",D279/$B$18)</f>
        <v/>
      </c>
      <c r="F279" s="29">
        <f>IF(OR(C279="",$B$18=""),"",C279*60/$B$18)</f>
        <v/>
      </c>
    </row>
    <row r="280">
      <c r="A280" s="26" t="n"/>
      <c r="B280" s="44" t="n"/>
      <c r="C280" s="45">
        <f>IF(B280="","",$B$15*(B280-$B$14))</f>
        <v/>
      </c>
      <c r="D280" s="46">
        <f>IF(OR(A280="",C280="",D279="",C279=""),"",D279+(C279+C280)/2*(A280-A279)*60)</f>
        <v/>
      </c>
      <c r="E280" s="20">
        <f>IF(OR(D280="",$B$18=""),"",D280/$B$18)</f>
        <v/>
      </c>
      <c r="F280" s="29">
        <f>IF(OR(C280="",$B$18=""),"",C280*60/$B$18)</f>
        <v/>
      </c>
    </row>
    <row r="281">
      <c r="A281" s="26" t="n"/>
      <c r="B281" s="44" t="n"/>
      <c r="C281" s="45">
        <f>IF(B281="","",$B$15*(B281-$B$14))</f>
        <v/>
      </c>
      <c r="D281" s="46">
        <f>IF(OR(A281="",C281="",D280="",C280=""),"",D280+(C280+C281)/2*(A281-A280)*60)</f>
        <v/>
      </c>
      <c r="E281" s="20">
        <f>IF(OR(D281="",$B$18=""),"",D281/$B$18)</f>
        <v/>
      </c>
      <c r="F281" s="29">
        <f>IF(OR(C281="",$B$18=""),"",C281*60/$B$18)</f>
        <v/>
      </c>
    </row>
    <row r="282">
      <c r="A282" s="26" t="n"/>
      <c r="B282" s="44" t="n"/>
      <c r="C282" s="45">
        <f>IF(B282="","",$B$15*(B282-$B$14))</f>
        <v/>
      </c>
      <c r="D282" s="46">
        <f>IF(OR(A282="",C282="",D281="",C281=""),"",D281+(C281+C282)/2*(A282-A281)*60)</f>
        <v/>
      </c>
      <c r="E282" s="20">
        <f>IF(OR(D282="",$B$18=""),"",D282/$B$18)</f>
        <v/>
      </c>
      <c r="F282" s="29">
        <f>IF(OR(C282="",$B$18=""),"",C282*60/$B$18)</f>
        <v/>
      </c>
    </row>
    <row r="283">
      <c r="A283" s="26" t="n"/>
      <c r="B283" s="44" t="n"/>
      <c r="C283" s="45">
        <f>IF(B283="","",$B$15*(B283-$B$14))</f>
        <v/>
      </c>
      <c r="D283" s="46">
        <f>IF(OR(A283="",C283="",D282="",C282=""),"",D282+(C282+C283)/2*(A283-A282)*60)</f>
        <v/>
      </c>
      <c r="E283" s="20">
        <f>IF(OR(D283="",$B$18=""),"",D283/$B$18)</f>
        <v/>
      </c>
      <c r="F283" s="29">
        <f>IF(OR(C283="",$B$18=""),"",C283*60/$B$18)</f>
        <v/>
      </c>
    </row>
    <row r="284">
      <c r="A284" s="26" t="n"/>
      <c r="B284" s="44" t="n"/>
      <c r="C284" s="45">
        <f>IF(B284="","",$B$15*(B284-$B$14))</f>
        <v/>
      </c>
      <c r="D284" s="46">
        <f>IF(OR(A284="",C284="",D283="",C283=""),"",D283+(C283+C284)/2*(A284-A283)*60)</f>
        <v/>
      </c>
      <c r="E284" s="20">
        <f>IF(OR(D284="",$B$18=""),"",D284/$B$18)</f>
        <v/>
      </c>
      <c r="F284" s="29">
        <f>IF(OR(C284="",$B$18=""),"",C284*60/$B$18)</f>
        <v/>
      </c>
    </row>
    <row r="285">
      <c r="A285" s="26" t="n"/>
      <c r="B285" s="44" t="n"/>
      <c r="C285" s="45">
        <f>IF(B285="","",$B$15*(B285-$B$14))</f>
        <v/>
      </c>
      <c r="D285" s="46">
        <f>IF(OR(A285="",C285="",D284="",C284=""),"",D284+(C284+C285)/2*(A285-A284)*60)</f>
        <v/>
      </c>
      <c r="E285" s="20">
        <f>IF(OR(D285="",$B$18=""),"",D285/$B$18)</f>
        <v/>
      </c>
      <c r="F285" s="29">
        <f>IF(OR(C285="",$B$18=""),"",C285*60/$B$18)</f>
        <v/>
      </c>
    </row>
    <row r="286">
      <c r="A286" s="26" t="n"/>
      <c r="B286" s="44" t="n"/>
      <c r="C286" s="45">
        <f>IF(B286="","",$B$15*(B286-$B$14))</f>
        <v/>
      </c>
      <c r="D286" s="46">
        <f>IF(OR(A286="",C286="",D285="",C285=""),"",D285+(C285+C286)/2*(A286-A285)*60)</f>
        <v/>
      </c>
      <c r="E286" s="20">
        <f>IF(OR(D286="",$B$18=""),"",D286/$B$18)</f>
        <v/>
      </c>
      <c r="F286" s="29">
        <f>IF(OR(C286="",$B$18=""),"",C286*60/$B$18)</f>
        <v/>
      </c>
    </row>
    <row r="287">
      <c r="A287" s="26" t="n"/>
      <c r="B287" s="44" t="n"/>
      <c r="C287" s="45">
        <f>IF(B287="","",$B$15*(B287-$B$14))</f>
        <v/>
      </c>
      <c r="D287" s="46">
        <f>IF(OR(A287="",C287="",D286="",C286=""),"",D286+(C286+C287)/2*(A287-A286)*60)</f>
        <v/>
      </c>
      <c r="E287" s="20">
        <f>IF(OR(D287="",$B$18=""),"",D287/$B$18)</f>
        <v/>
      </c>
      <c r="F287" s="29">
        <f>IF(OR(C287="",$B$18=""),"",C287*60/$B$18)</f>
        <v/>
      </c>
    </row>
    <row r="288">
      <c r="A288" s="26" t="n"/>
      <c r="B288" s="44" t="n"/>
      <c r="C288" s="45">
        <f>IF(B288="","",$B$15*(B288-$B$14))</f>
        <v/>
      </c>
      <c r="D288" s="46">
        <f>IF(OR(A288="",C288="",D287="",C287=""),"",D287+(C287+C288)/2*(A288-A287)*60)</f>
        <v/>
      </c>
      <c r="E288" s="20">
        <f>IF(OR(D288="",$B$18=""),"",D288/$B$18)</f>
        <v/>
      </c>
      <c r="F288" s="29">
        <f>IF(OR(C288="",$B$18=""),"",C288*60/$B$18)</f>
        <v/>
      </c>
    </row>
    <row r="289">
      <c r="A289" s="26" t="n"/>
      <c r="B289" s="44" t="n"/>
      <c r="C289" s="45">
        <f>IF(B289="","",$B$15*(B289-$B$14))</f>
        <v/>
      </c>
      <c r="D289" s="46">
        <f>IF(OR(A289="",C289="",D288="",C288=""),"",D288+(C288+C289)/2*(A289-A288)*60)</f>
        <v/>
      </c>
      <c r="E289" s="20">
        <f>IF(OR(D289="",$B$18=""),"",D289/$B$18)</f>
        <v/>
      </c>
      <c r="F289" s="29">
        <f>IF(OR(C289="",$B$18=""),"",C289*60/$B$18)</f>
        <v/>
      </c>
    </row>
    <row r="290">
      <c r="A290" s="26" t="n"/>
      <c r="B290" s="44" t="n"/>
      <c r="C290" s="45">
        <f>IF(B290="","",$B$15*(B290-$B$14))</f>
        <v/>
      </c>
      <c r="D290" s="46">
        <f>IF(OR(A290="",C290="",D289="",C289=""),"",D289+(C289+C290)/2*(A290-A289)*60)</f>
        <v/>
      </c>
      <c r="E290" s="20">
        <f>IF(OR(D290="",$B$18=""),"",D290/$B$18)</f>
        <v/>
      </c>
      <c r="F290" s="29">
        <f>IF(OR(C290="",$B$18=""),"",C290*60/$B$18)</f>
        <v/>
      </c>
    </row>
    <row r="291">
      <c r="A291" s="26" t="n"/>
      <c r="B291" s="44" t="n"/>
      <c r="C291" s="45">
        <f>IF(B291="","",$B$15*(B291-$B$14))</f>
        <v/>
      </c>
      <c r="D291" s="46">
        <f>IF(OR(A291="",C291="",D290="",C290=""),"",D290+(C290+C291)/2*(A291-A290)*60)</f>
        <v/>
      </c>
      <c r="E291" s="20">
        <f>IF(OR(D291="",$B$18=""),"",D291/$B$18)</f>
        <v/>
      </c>
      <c r="F291" s="29">
        <f>IF(OR(C291="",$B$18=""),"",C291*60/$B$18)</f>
        <v/>
      </c>
    </row>
    <row r="292">
      <c r="A292" s="26" t="n"/>
      <c r="B292" s="44" t="n"/>
      <c r="C292" s="45">
        <f>IF(B292="","",$B$15*(B292-$B$14))</f>
        <v/>
      </c>
      <c r="D292" s="46">
        <f>IF(OR(A292="",C292="",D291="",C291=""),"",D291+(C291+C292)/2*(A292-A291)*60)</f>
        <v/>
      </c>
      <c r="E292" s="20">
        <f>IF(OR(D292="",$B$18=""),"",D292/$B$18)</f>
        <v/>
      </c>
      <c r="F292" s="29">
        <f>IF(OR(C292="",$B$18=""),"",C292*60/$B$18)</f>
        <v/>
      </c>
    </row>
    <row r="293">
      <c r="A293" s="26" t="n"/>
      <c r="B293" s="44" t="n"/>
      <c r="C293" s="45">
        <f>IF(B293="","",$B$15*(B293-$B$14))</f>
        <v/>
      </c>
      <c r="D293" s="46">
        <f>IF(OR(A293="",C293="",D292="",C292=""),"",D292+(C292+C293)/2*(A293-A292)*60)</f>
        <v/>
      </c>
      <c r="E293" s="20">
        <f>IF(OR(D293="",$B$18=""),"",D293/$B$18)</f>
        <v/>
      </c>
      <c r="F293" s="29">
        <f>IF(OR(C293="",$B$18=""),"",C293*60/$B$18)</f>
        <v/>
      </c>
    </row>
    <row r="294">
      <c r="A294" s="26" t="n"/>
      <c r="B294" s="44" t="n"/>
      <c r="C294" s="45">
        <f>IF(B294="","",$B$15*(B294-$B$14))</f>
        <v/>
      </c>
      <c r="D294" s="46">
        <f>IF(OR(A294="",C294="",D293="",C293=""),"",D293+(C293+C294)/2*(A294-A293)*60)</f>
        <v/>
      </c>
      <c r="E294" s="20">
        <f>IF(OR(D294="",$B$18=""),"",D294/$B$18)</f>
        <v/>
      </c>
      <c r="F294" s="29">
        <f>IF(OR(C294="",$B$18=""),"",C294*60/$B$18)</f>
        <v/>
      </c>
    </row>
    <row r="295">
      <c r="A295" s="26" t="n"/>
      <c r="B295" s="44" t="n"/>
      <c r="C295" s="45">
        <f>IF(B295="","",$B$15*(B295-$B$14))</f>
        <v/>
      </c>
      <c r="D295" s="46">
        <f>IF(OR(A295="",C295="",D294="",C294=""),"",D294+(C294+C295)/2*(A295-A294)*60)</f>
        <v/>
      </c>
      <c r="E295" s="20">
        <f>IF(OR(D295="",$B$18=""),"",D295/$B$18)</f>
        <v/>
      </c>
      <c r="F295" s="29">
        <f>IF(OR(C295="",$B$18=""),"",C295*60/$B$18)</f>
        <v/>
      </c>
    </row>
    <row r="296">
      <c r="A296" s="26" t="n"/>
      <c r="B296" s="44" t="n"/>
      <c r="C296" s="45">
        <f>IF(B296="","",$B$15*(B296-$B$14))</f>
        <v/>
      </c>
      <c r="D296" s="46">
        <f>IF(OR(A296="",C296="",D295="",C295=""),"",D295+(C295+C296)/2*(A296-A295)*60)</f>
        <v/>
      </c>
      <c r="E296" s="20">
        <f>IF(OR(D296="",$B$18=""),"",D296/$B$18)</f>
        <v/>
      </c>
      <c r="F296" s="29">
        <f>IF(OR(C296="",$B$18=""),"",C296*60/$B$18)</f>
        <v/>
      </c>
    </row>
    <row r="297">
      <c r="A297" s="26" t="n"/>
      <c r="B297" s="44" t="n"/>
      <c r="C297" s="45">
        <f>IF(B297="","",$B$15*(B297-$B$14))</f>
        <v/>
      </c>
      <c r="D297" s="46">
        <f>IF(OR(A297="",C297="",D296="",C296=""),"",D296+(C296+C297)/2*(A297-A296)*60)</f>
        <v/>
      </c>
      <c r="E297" s="20">
        <f>IF(OR(D297="",$B$18=""),"",D297/$B$18)</f>
        <v/>
      </c>
      <c r="F297" s="29">
        <f>IF(OR(C297="",$B$18=""),"",C297*60/$B$18)</f>
        <v/>
      </c>
    </row>
    <row r="298">
      <c r="A298" s="26" t="n"/>
      <c r="B298" s="44" t="n"/>
      <c r="C298" s="45">
        <f>IF(B298="","",$B$15*(B298-$B$14))</f>
        <v/>
      </c>
      <c r="D298" s="46">
        <f>IF(OR(A298="",C298="",D297="",C297=""),"",D297+(C297+C298)/2*(A298-A297)*60)</f>
        <v/>
      </c>
      <c r="E298" s="20">
        <f>IF(OR(D298="",$B$18=""),"",D298/$B$18)</f>
        <v/>
      </c>
      <c r="F298" s="29">
        <f>IF(OR(C298="",$B$18=""),"",C298*60/$B$18)</f>
        <v/>
      </c>
    </row>
    <row r="299">
      <c r="A299" s="26" t="n"/>
      <c r="B299" s="44" t="n"/>
      <c r="C299" s="45">
        <f>IF(B299="","",$B$15*(B299-$B$14))</f>
        <v/>
      </c>
      <c r="D299" s="46">
        <f>IF(OR(A299="",C299="",D298="",C298=""),"",D298+(C298+C299)/2*(A299-A298)*60)</f>
        <v/>
      </c>
      <c r="E299" s="20">
        <f>IF(OR(D299="",$B$18=""),"",D299/$B$18)</f>
        <v/>
      </c>
      <c r="F299" s="29">
        <f>IF(OR(C299="",$B$18=""),"",C299*60/$B$18)</f>
        <v/>
      </c>
    </row>
    <row r="300">
      <c r="A300" s="26" t="n"/>
      <c r="B300" s="44" t="n"/>
      <c r="C300" s="45">
        <f>IF(B300="","",$B$15*(B300-$B$14))</f>
        <v/>
      </c>
      <c r="D300" s="46">
        <f>IF(OR(A300="",C300="",D299="",C299=""),"",D299+(C299+C300)/2*(A300-A299)*60)</f>
        <v/>
      </c>
      <c r="E300" s="20">
        <f>IF(OR(D300="",$B$18=""),"",D300/$B$18)</f>
        <v/>
      </c>
      <c r="F300" s="29">
        <f>IF(OR(C300="",$B$18=""),"",C300*60/$B$18)</f>
        <v/>
      </c>
    </row>
    <row r="301">
      <c r="A301" s="26" t="n"/>
      <c r="B301" s="44" t="n"/>
      <c r="C301" s="45">
        <f>IF(B301="","",$B$15*(B301-$B$14))</f>
        <v/>
      </c>
      <c r="D301" s="46">
        <f>IF(OR(A301="",C301="",D300="",C300=""),"",D300+(C300+C301)/2*(A301-A300)*60)</f>
        <v/>
      </c>
      <c r="E301" s="20">
        <f>IF(OR(D301="",$B$18=""),"",D301/$B$18)</f>
        <v/>
      </c>
      <c r="F301" s="29">
        <f>IF(OR(C301="",$B$18=""),"",C301*60/$B$18)</f>
        <v/>
      </c>
    </row>
    <row r="302">
      <c r="A302" s="26" t="n"/>
      <c r="B302" s="44" t="n"/>
      <c r="C302" s="45">
        <f>IF(B302="","",$B$15*(B302-$B$14))</f>
        <v/>
      </c>
      <c r="D302" s="46">
        <f>IF(OR(A302="",C302="",D301="",C301=""),"",D301+(C301+C302)/2*(A302-A301)*60)</f>
        <v/>
      </c>
      <c r="E302" s="20">
        <f>IF(OR(D302="",$B$18=""),"",D302/$B$18)</f>
        <v/>
      </c>
      <c r="F302" s="29">
        <f>IF(OR(C302="",$B$18=""),"",C302*60/$B$18)</f>
        <v/>
      </c>
    </row>
    <row r="303">
      <c r="A303" s="26" t="n"/>
      <c r="B303" s="44" t="n"/>
      <c r="C303" s="45">
        <f>IF(B303="","",$B$15*(B303-$B$14))</f>
        <v/>
      </c>
      <c r="D303" s="46">
        <f>IF(OR(A303="",C303="",D302="",C302=""),"",D302+(C302+C303)/2*(A303-A302)*60)</f>
        <v/>
      </c>
      <c r="E303" s="20">
        <f>IF(OR(D303="",$B$18=""),"",D303/$B$18)</f>
        <v/>
      </c>
      <c r="F303" s="29">
        <f>IF(OR(C303="",$B$18=""),"",C303*60/$B$18)</f>
        <v/>
      </c>
    </row>
    <row r="304">
      <c r="A304" s="26" t="n"/>
      <c r="B304" s="44" t="n"/>
      <c r="C304" s="45">
        <f>IF(B304="","",$B$15*(B304-$B$14))</f>
        <v/>
      </c>
      <c r="D304" s="46">
        <f>IF(OR(A304="",C304="",D303="",C303=""),"",D303+(C303+C304)/2*(A304-A303)*60)</f>
        <v/>
      </c>
      <c r="E304" s="20">
        <f>IF(OR(D304="",$B$18=""),"",D304/$B$18)</f>
        <v/>
      </c>
      <c r="F304" s="29">
        <f>IF(OR(C304="",$B$18=""),"",C304*60/$B$18)</f>
        <v/>
      </c>
    </row>
    <row r="305">
      <c r="A305" s="26" t="n"/>
      <c r="B305" s="44" t="n"/>
      <c r="C305" s="45">
        <f>IF(B305="","",$B$15*(B305-$B$14))</f>
        <v/>
      </c>
      <c r="D305" s="46">
        <f>IF(OR(A305="",C305="",D304="",C304=""),"",D304+(C304+C305)/2*(A305-A304)*60)</f>
        <v/>
      </c>
      <c r="E305" s="20">
        <f>IF(OR(D305="",$B$18=""),"",D305/$B$18)</f>
        <v/>
      </c>
      <c r="F305" s="29">
        <f>IF(OR(C305="",$B$18=""),"",C305*60/$B$18)</f>
        <v/>
      </c>
    </row>
    <row r="306">
      <c r="A306" s="26" t="n"/>
      <c r="B306" s="44" t="n"/>
      <c r="C306" s="45">
        <f>IF(B306="","",$B$15*(B306-$B$14))</f>
        <v/>
      </c>
      <c r="D306" s="46">
        <f>IF(OR(A306="",C306="",D305="",C305=""),"",D305+(C305+C306)/2*(A306-A305)*60)</f>
        <v/>
      </c>
      <c r="E306" s="20">
        <f>IF(OR(D306="",$B$18=""),"",D306/$B$18)</f>
        <v/>
      </c>
      <c r="F306" s="29">
        <f>IF(OR(C306="",$B$18=""),"",C306*60/$B$18)</f>
        <v/>
      </c>
    </row>
    <row r="307">
      <c r="A307" s="26" t="n"/>
      <c r="B307" s="44" t="n"/>
      <c r="C307" s="45">
        <f>IF(B307="","",$B$15*(B307-$B$14))</f>
        <v/>
      </c>
      <c r="D307" s="46">
        <f>IF(OR(A307="",C307="",D306="",C306=""),"",D306+(C306+C307)/2*(A307-A306)*60)</f>
        <v/>
      </c>
      <c r="E307" s="20">
        <f>IF(OR(D307="",$B$18=""),"",D307/$B$18)</f>
        <v/>
      </c>
      <c r="F307" s="29">
        <f>IF(OR(C307="",$B$18=""),"",C307*60/$B$18)</f>
        <v/>
      </c>
    </row>
    <row r="308">
      <c r="A308" s="26" t="n"/>
      <c r="B308" s="44" t="n"/>
      <c r="C308" s="45">
        <f>IF(B308="","",$B$15*(B308-$B$14))</f>
        <v/>
      </c>
      <c r="D308" s="46">
        <f>IF(OR(A308="",C308="",D307="",C307=""),"",D307+(C307+C308)/2*(A308-A307)*60)</f>
        <v/>
      </c>
      <c r="E308" s="20">
        <f>IF(OR(D308="",$B$18=""),"",D308/$B$18)</f>
        <v/>
      </c>
      <c r="F308" s="29">
        <f>IF(OR(C308="",$B$18=""),"",C308*60/$B$18)</f>
        <v/>
      </c>
    </row>
    <row r="309">
      <c r="A309" s="26" t="n"/>
      <c r="B309" s="44" t="n"/>
      <c r="C309" s="45">
        <f>IF(B309="","",$B$15*(B309-$B$14))</f>
        <v/>
      </c>
      <c r="D309" s="46">
        <f>IF(OR(A309="",C309="",D308="",C308=""),"",D308+(C308+C309)/2*(A309-A308)*60)</f>
        <v/>
      </c>
      <c r="E309" s="20">
        <f>IF(OR(D309="",$B$18=""),"",D309/$B$18)</f>
        <v/>
      </c>
      <c r="F309" s="29">
        <f>IF(OR(C309="",$B$18=""),"",C309*60/$B$18)</f>
        <v/>
      </c>
    </row>
    <row r="310">
      <c r="A310" s="26" t="n"/>
      <c r="B310" s="44" t="n"/>
      <c r="C310" s="45">
        <f>IF(B310="","",$B$15*(B310-$B$14))</f>
        <v/>
      </c>
      <c r="D310" s="46">
        <f>IF(OR(A310="",C310="",D309="",C309=""),"",D309+(C309+C310)/2*(A310-A309)*60)</f>
        <v/>
      </c>
      <c r="E310" s="20">
        <f>IF(OR(D310="",$B$18=""),"",D310/$B$18)</f>
        <v/>
      </c>
      <c r="F310" s="29">
        <f>IF(OR(C310="",$B$18=""),"",C310*60/$B$18)</f>
        <v/>
      </c>
    </row>
    <row r="311">
      <c r="A311" s="26" t="n"/>
      <c r="B311" s="44" t="n"/>
      <c r="C311" s="45">
        <f>IF(B311="","",$B$15*(B311-$B$14))</f>
        <v/>
      </c>
      <c r="D311" s="46">
        <f>IF(OR(A311="",C311="",D310="",C310=""),"",D310+(C310+C311)/2*(A311-A310)*60)</f>
        <v/>
      </c>
      <c r="E311" s="20">
        <f>IF(OR(D311="",$B$18=""),"",D311/$B$18)</f>
        <v/>
      </c>
      <c r="F311" s="29">
        <f>IF(OR(C311="",$B$18=""),"",C311*60/$B$18)</f>
        <v/>
      </c>
    </row>
    <row r="312">
      <c r="A312" s="26" t="n"/>
      <c r="B312" s="44" t="n"/>
      <c r="C312" s="45">
        <f>IF(B312="","",$B$15*(B312-$B$14))</f>
        <v/>
      </c>
      <c r="D312" s="46">
        <f>IF(OR(A312="",C312="",D311="",C311=""),"",D311+(C311+C312)/2*(A312-A311)*60)</f>
        <v/>
      </c>
      <c r="E312" s="20">
        <f>IF(OR(D312="",$B$18=""),"",D312/$B$18)</f>
        <v/>
      </c>
      <c r="F312" s="29">
        <f>IF(OR(C312="",$B$18=""),"",C312*60/$B$18)</f>
        <v/>
      </c>
    </row>
    <row r="313">
      <c r="A313" s="26" t="n"/>
      <c r="B313" s="44" t="n"/>
      <c r="C313" s="45">
        <f>IF(B313="","",$B$15*(B313-$B$14))</f>
        <v/>
      </c>
      <c r="D313" s="46">
        <f>IF(OR(A313="",C313="",D312="",C312=""),"",D312+(C312+C313)/2*(A313-A312)*60)</f>
        <v/>
      </c>
      <c r="E313" s="20">
        <f>IF(OR(D313="",$B$18=""),"",D313/$B$18)</f>
        <v/>
      </c>
      <c r="F313" s="29">
        <f>IF(OR(C313="",$B$18=""),"",C313*60/$B$18)</f>
        <v/>
      </c>
    </row>
    <row r="314">
      <c r="A314" s="26" t="n"/>
      <c r="B314" s="44" t="n"/>
      <c r="C314" s="45">
        <f>IF(B314="","",$B$15*(B314-$B$14))</f>
        <v/>
      </c>
      <c r="D314" s="46">
        <f>IF(OR(A314="",C314="",D313="",C313=""),"",D313+(C313+C314)/2*(A314-A313)*60)</f>
        <v/>
      </c>
      <c r="E314" s="20">
        <f>IF(OR(D314="",$B$18=""),"",D314/$B$18)</f>
        <v/>
      </c>
      <c r="F314" s="29">
        <f>IF(OR(C314="",$B$18=""),"",C314*60/$B$18)</f>
        <v/>
      </c>
    </row>
    <row r="315">
      <c r="A315" s="26" t="n"/>
      <c r="B315" s="44" t="n"/>
      <c r="C315" s="45">
        <f>IF(B315="","",$B$15*(B315-$B$14))</f>
        <v/>
      </c>
      <c r="D315" s="46">
        <f>IF(OR(A315="",C315="",D314="",C314=""),"",D314+(C314+C315)/2*(A315-A314)*60)</f>
        <v/>
      </c>
      <c r="E315" s="20">
        <f>IF(OR(D315="",$B$18=""),"",D315/$B$18)</f>
        <v/>
      </c>
      <c r="F315" s="29">
        <f>IF(OR(C315="",$B$18=""),"",C315*60/$B$18)</f>
        <v/>
      </c>
    </row>
    <row r="316">
      <c r="A316" s="26" t="n"/>
      <c r="B316" s="44" t="n"/>
      <c r="C316" s="45">
        <f>IF(B316="","",$B$15*(B316-$B$14))</f>
        <v/>
      </c>
      <c r="D316" s="46">
        <f>IF(OR(A316="",C316="",D315="",C315=""),"",D315+(C315+C316)/2*(A316-A315)*60)</f>
        <v/>
      </c>
      <c r="E316" s="20">
        <f>IF(OR(D316="",$B$18=""),"",D316/$B$18)</f>
        <v/>
      </c>
      <c r="F316" s="29">
        <f>IF(OR(C316="",$B$18=""),"",C316*60/$B$18)</f>
        <v/>
      </c>
    </row>
    <row r="317">
      <c r="A317" s="26" t="n"/>
      <c r="B317" s="44" t="n"/>
      <c r="C317" s="45">
        <f>IF(B317="","",$B$15*(B317-$B$14))</f>
        <v/>
      </c>
      <c r="D317" s="46">
        <f>IF(OR(A317="",C317="",D316="",C316=""),"",D316+(C316+C317)/2*(A317-A316)*60)</f>
        <v/>
      </c>
      <c r="E317" s="20">
        <f>IF(OR(D317="",$B$18=""),"",D317/$B$18)</f>
        <v/>
      </c>
      <c r="F317" s="29">
        <f>IF(OR(C317="",$B$18=""),"",C317*60/$B$18)</f>
        <v/>
      </c>
    </row>
    <row r="318">
      <c r="A318" s="26" t="n"/>
      <c r="B318" s="44" t="n"/>
      <c r="C318" s="45">
        <f>IF(B318="","",$B$15*(B318-$B$14))</f>
        <v/>
      </c>
      <c r="D318" s="46">
        <f>IF(OR(A318="",C318="",D317="",C317=""),"",D317+(C317+C318)/2*(A318-A317)*60)</f>
        <v/>
      </c>
      <c r="E318" s="20">
        <f>IF(OR(D318="",$B$18=""),"",D318/$B$18)</f>
        <v/>
      </c>
      <c r="F318" s="29">
        <f>IF(OR(C318="",$B$18=""),"",C318*60/$B$18)</f>
        <v/>
      </c>
    </row>
    <row r="319">
      <c r="A319" s="26" t="n"/>
      <c r="B319" s="44" t="n"/>
      <c r="C319" s="45">
        <f>IF(B319="","",$B$15*(B319-$B$14))</f>
        <v/>
      </c>
      <c r="D319" s="46">
        <f>IF(OR(A319="",C319="",D318="",C318=""),"",D318+(C318+C319)/2*(A319-A318)*60)</f>
        <v/>
      </c>
      <c r="E319" s="20">
        <f>IF(OR(D319="",$B$18=""),"",D319/$B$18)</f>
        <v/>
      </c>
      <c r="F319" s="29">
        <f>IF(OR(C319="",$B$18=""),"",C319*60/$B$18)</f>
        <v/>
      </c>
    </row>
    <row r="320">
      <c r="A320" s="26" t="n"/>
      <c r="B320" s="44" t="n"/>
      <c r="C320" s="45">
        <f>IF(B320="","",$B$15*(B320-$B$14))</f>
        <v/>
      </c>
      <c r="D320" s="46">
        <f>IF(OR(A320="",C320="",D319="",C319=""),"",D319+(C319+C320)/2*(A320-A319)*60)</f>
        <v/>
      </c>
      <c r="E320" s="20">
        <f>IF(OR(D320="",$B$18=""),"",D320/$B$18)</f>
        <v/>
      </c>
      <c r="F320" s="29">
        <f>IF(OR(C320="",$B$18=""),"",C320*60/$B$18)</f>
        <v/>
      </c>
    </row>
    <row r="321">
      <c r="A321" s="26" t="n"/>
      <c r="B321" s="44" t="n"/>
      <c r="C321" s="45">
        <f>IF(B321="","",$B$15*(B321-$B$14))</f>
        <v/>
      </c>
      <c r="D321" s="46">
        <f>IF(OR(A321="",C321="",D320="",C320=""),"",D320+(C320+C321)/2*(A321-A320)*60)</f>
        <v/>
      </c>
      <c r="E321" s="20">
        <f>IF(OR(D321="",$B$18=""),"",D321/$B$18)</f>
        <v/>
      </c>
      <c r="F321" s="29">
        <f>IF(OR(C321="",$B$18=""),"",C321*60/$B$18)</f>
        <v/>
      </c>
    </row>
    <row r="322">
      <c r="A322" s="26" t="n"/>
      <c r="B322" s="44" t="n"/>
      <c r="C322" s="45">
        <f>IF(B322="","",$B$15*(B322-$B$14))</f>
        <v/>
      </c>
      <c r="D322" s="46">
        <f>IF(OR(A322="",C322="",D321="",C321=""),"",D321+(C321+C322)/2*(A322-A321)*60)</f>
        <v/>
      </c>
      <c r="E322" s="20">
        <f>IF(OR(D322="",$B$18=""),"",D322/$B$18)</f>
        <v/>
      </c>
      <c r="F322" s="29">
        <f>IF(OR(C322="",$B$18=""),"",C322*60/$B$18)</f>
        <v/>
      </c>
    </row>
    <row r="323">
      <c r="A323" s="26" t="n"/>
      <c r="B323" s="44" t="n"/>
      <c r="C323" s="45">
        <f>IF(B323="","",$B$15*(B323-$B$14))</f>
        <v/>
      </c>
      <c r="D323" s="46">
        <f>IF(OR(A323="",C323="",D322="",C322=""),"",D322+(C322+C323)/2*(A323-A322)*60)</f>
        <v/>
      </c>
      <c r="E323" s="20">
        <f>IF(OR(D323="",$B$18=""),"",D323/$B$18)</f>
        <v/>
      </c>
      <c r="F323" s="29">
        <f>IF(OR(C323="",$B$18=""),"",C323*60/$B$18)</f>
        <v/>
      </c>
    </row>
    <row r="324">
      <c r="A324" s="26" t="n"/>
      <c r="B324" s="44" t="n"/>
      <c r="C324" s="45">
        <f>IF(B324="","",$B$15*(B324-$B$14))</f>
        <v/>
      </c>
      <c r="D324" s="46">
        <f>IF(OR(A324="",C324="",D323="",C323=""),"",D323+(C323+C324)/2*(A324-A323)*60)</f>
        <v/>
      </c>
      <c r="E324" s="20">
        <f>IF(OR(D324="",$B$18=""),"",D324/$B$18)</f>
        <v/>
      </c>
      <c r="F324" s="29">
        <f>IF(OR(C324="",$B$18=""),"",C324*60/$B$18)</f>
        <v/>
      </c>
    </row>
    <row r="325">
      <c r="A325" s="26" t="n"/>
      <c r="B325" s="44" t="n"/>
      <c r="C325" s="45">
        <f>IF(B325="","",$B$15*(B325-$B$14))</f>
        <v/>
      </c>
      <c r="D325" s="46">
        <f>IF(OR(A325="",C325="",D324="",C324=""),"",D324+(C324+C325)/2*(A325-A324)*60)</f>
        <v/>
      </c>
      <c r="E325" s="20">
        <f>IF(OR(D325="",$B$18=""),"",D325/$B$18)</f>
        <v/>
      </c>
      <c r="F325" s="29">
        <f>IF(OR(C325="",$B$18=""),"",C325*60/$B$18)</f>
        <v/>
      </c>
    </row>
    <row r="326">
      <c r="A326" s="26" t="n"/>
      <c r="B326" s="44" t="n"/>
      <c r="C326" s="45">
        <f>IF(B326="","",$B$15*(B326-$B$14))</f>
        <v/>
      </c>
      <c r="D326" s="46">
        <f>IF(OR(A326="",C326="",D325="",C325=""),"",D325+(C325+C326)/2*(A326-A325)*60)</f>
        <v/>
      </c>
      <c r="E326" s="20">
        <f>IF(OR(D326="",$B$18=""),"",D326/$B$18)</f>
        <v/>
      </c>
      <c r="F326" s="29">
        <f>IF(OR(C326="",$B$18=""),"",C326*60/$B$18)</f>
        <v/>
      </c>
    </row>
    <row r="327">
      <c r="A327" s="26" t="n"/>
      <c r="B327" s="44" t="n"/>
      <c r="C327" s="45">
        <f>IF(B327="","",$B$15*(B327-$B$14))</f>
        <v/>
      </c>
      <c r="D327" s="46">
        <f>IF(OR(A327="",C327="",D326="",C326=""),"",D326+(C326+C327)/2*(A327-A326)*60)</f>
        <v/>
      </c>
      <c r="E327" s="20">
        <f>IF(OR(D327="",$B$18=""),"",D327/$B$18)</f>
        <v/>
      </c>
      <c r="F327" s="29">
        <f>IF(OR(C327="",$B$18=""),"",C327*60/$B$18)</f>
        <v/>
      </c>
    </row>
    <row r="328">
      <c r="A328" s="26" t="n"/>
      <c r="B328" s="44" t="n"/>
      <c r="C328" s="45">
        <f>IF(B328="","",$B$15*(B328-$B$14))</f>
        <v/>
      </c>
      <c r="D328" s="46">
        <f>IF(OR(A328="",C328="",D327="",C327=""),"",D327+(C327+C328)/2*(A328-A327)*60)</f>
        <v/>
      </c>
      <c r="E328" s="20">
        <f>IF(OR(D328="",$B$18=""),"",D328/$B$18)</f>
        <v/>
      </c>
      <c r="F328" s="29">
        <f>IF(OR(C328="",$B$18=""),"",C328*60/$B$18)</f>
        <v/>
      </c>
    </row>
    <row r="329">
      <c r="A329" s="26" t="n"/>
      <c r="B329" s="44" t="n"/>
      <c r="C329" s="45">
        <f>IF(B329="","",$B$15*(B329-$B$14))</f>
        <v/>
      </c>
      <c r="D329" s="46">
        <f>IF(OR(A329="",C329="",D328="",C328=""),"",D328+(C328+C329)/2*(A329-A328)*60)</f>
        <v/>
      </c>
      <c r="E329" s="20">
        <f>IF(OR(D329="",$B$18=""),"",D329/$B$18)</f>
        <v/>
      </c>
      <c r="F329" s="29">
        <f>IF(OR(C329="",$B$18=""),"",C329*60/$B$18)</f>
        <v/>
      </c>
    </row>
    <row r="330">
      <c r="A330" s="26" t="n"/>
      <c r="B330" s="44" t="n"/>
      <c r="C330" s="45">
        <f>IF(B330="","",$B$15*(B330-$B$14))</f>
        <v/>
      </c>
      <c r="D330" s="46">
        <f>IF(OR(A330="",C330="",D329="",C329=""),"",D329+(C329+C330)/2*(A330-A329)*60)</f>
        <v/>
      </c>
      <c r="E330" s="20">
        <f>IF(OR(D330="",$B$18=""),"",D330/$B$18)</f>
        <v/>
      </c>
      <c r="F330" s="29">
        <f>IF(OR(C330="",$B$18=""),"",C330*60/$B$18)</f>
        <v/>
      </c>
    </row>
    <row r="331">
      <c r="A331" s="26" t="n"/>
      <c r="B331" s="44" t="n"/>
      <c r="C331" s="45">
        <f>IF(B331="","",$B$15*(B331-$B$14))</f>
        <v/>
      </c>
      <c r="D331" s="46">
        <f>IF(OR(A331="",C331="",D330="",C330=""),"",D330+(C330+C331)/2*(A331-A330)*60)</f>
        <v/>
      </c>
      <c r="E331" s="20">
        <f>IF(OR(D331="",$B$18=""),"",D331/$B$18)</f>
        <v/>
      </c>
      <c r="F331" s="29">
        <f>IF(OR(C331="",$B$18=""),"",C331*60/$B$18)</f>
        <v/>
      </c>
    </row>
    <row r="332">
      <c r="A332" s="26" t="n"/>
      <c r="B332" s="44" t="n"/>
      <c r="C332" s="45">
        <f>IF(B332="","",$B$15*(B332-$B$14))</f>
        <v/>
      </c>
      <c r="D332" s="46">
        <f>IF(OR(A332="",C332="",D331="",C331=""),"",D331+(C331+C332)/2*(A332-A331)*60)</f>
        <v/>
      </c>
      <c r="E332" s="20">
        <f>IF(OR(D332="",$B$18=""),"",D332/$B$18)</f>
        <v/>
      </c>
      <c r="F332" s="29">
        <f>IF(OR(C332="",$B$18=""),"",C332*60/$B$18)</f>
        <v/>
      </c>
    </row>
    <row r="333">
      <c r="A333" s="26" t="n"/>
      <c r="B333" s="44" t="n"/>
      <c r="C333" s="45">
        <f>IF(B333="","",$B$15*(B333-$B$14))</f>
        <v/>
      </c>
      <c r="D333" s="46">
        <f>IF(OR(A333="",C333="",D332="",C332=""),"",D332+(C332+C333)/2*(A333-A332)*60)</f>
        <v/>
      </c>
      <c r="E333" s="20">
        <f>IF(OR(D333="",$B$18=""),"",D333/$B$18)</f>
        <v/>
      </c>
      <c r="F333" s="29">
        <f>IF(OR(C333="",$B$18=""),"",C333*60/$B$18)</f>
        <v/>
      </c>
    </row>
    <row r="334">
      <c r="A334" s="26" t="n"/>
      <c r="B334" s="44" t="n"/>
      <c r="C334" s="45">
        <f>IF(B334="","",$B$15*(B334-$B$14))</f>
        <v/>
      </c>
      <c r="D334" s="46">
        <f>IF(OR(A334="",C334="",D333="",C333=""),"",D333+(C333+C334)/2*(A334-A333)*60)</f>
        <v/>
      </c>
      <c r="E334" s="20">
        <f>IF(OR(D334="",$B$18=""),"",D334/$B$18)</f>
        <v/>
      </c>
      <c r="F334" s="29">
        <f>IF(OR(C334="",$B$18=""),"",C334*60/$B$18)</f>
        <v/>
      </c>
    </row>
    <row r="335">
      <c r="A335" s="26" t="n"/>
      <c r="B335" s="44" t="n"/>
      <c r="C335" s="45">
        <f>IF(B335="","",$B$15*(B335-$B$14))</f>
        <v/>
      </c>
      <c r="D335" s="46">
        <f>IF(OR(A335="",C335="",D334="",C334=""),"",D334+(C334+C335)/2*(A335-A334)*60)</f>
        <v/>
      </c>
      <c r="E335" s="20">
        <f>IF(OR(D335="",$B$18=""),"",D335/$B$18)</f>
        <v/>
      </c>
      <c r="F335" s="29">
        <f>IF(OR(C335="",$B$18=""),"",C335*60/$B$18)</f>
        <v/>
      </c>
    </row>
    <row r="336">
      <c r="A336" s="26" t="n"/>
      <c r="B336" s="44" t="n"/>
      <c r="C336" s="45">
        <f>IF(B336="","",$B$15*(B336-$B$14))</f>
        <v/>
      </c>
      <c r="D336" s="46">
        <f>IF(OR(A336="",C336="",D335="",C335=""),"",D335+(C335+C336)/2*(A336-A335)*60)</f>
        <v/>
      </c>
      <c r="E336" s="20">
        <f>IF(OR(D336="",$B$18=""),"",D336/$B$18)</f>
        <v/>
      </c>
      <c r="F336" s="29">
        <f>IF(OR(C336="",$B$18=""),"",C336*60/$B$18)</f>
        <v/>
      </c>
    </row>
    <row r="337">
      <c r="A337" s="26" t="n"/>
      <c r="B337" s="44" t="n"/>
      <c r="C337" s="45">
        <f>IF(B337="","",$B$15*(B337-$B$14))</f>
        <v/>
      </c>
      <c r="D337" s="46">
        <f>IF(OR(A337="",C337="",D336="",C336=""),"",D336+(C336+C337)/2*(A337-A336)*60)</f>
        <v/>
      </c>
      <c r="E337" s="20">
        <f>IF(OR(D337="",$B$18=""),"",D337/$B$18)</f>
        <v/>
      </c>
      <c r="F337" s="29">
        <f>IF(OR(C337="",$B$18=""),"",C337*60/$B$18)</f>
        <v/>
      </c>
    </row>
    <row r="338">
      <c r="A338" s="26" t="n"/>
      <c r="B338" s="44" t="n"/>
      <c r="C338" s="45">
        <f>IF(B338="","",$B$15*(B338-$B$14))</f>
        <v/>
      </c>
      <c r="D338" s="46">
        <f>IF(OR(A338="",C338="",D337="",C337=""),"",D337+(C337+C338)/2*(A338-A337)*60)</f>
        <v/>
      </c>
      <c r="E338" s="20">
        <f>IF(OR(D338="",$B$18=""),"",D338/$B$18)</f>
        <v/>
      </c>
      <c r="F338" s="29">
        <f>IF(OR(C338="",$B$18=""),"",C338*60/$B$18)</f>
        <v/>
      </c>
    </row>
    <row r="339">
      <c r="A339" s="26" t="n"/>
      <c r="B339" s="44" t="n"/>
      <c r="C339" s="45">
        <f>IF(B339="","",$B$15*(B339-$B$14))</f>
        <v/>
      </c>
      <c r="D339" s="46">
        <f>IF(OR(A339="",C339="",D338="",C338=""),"",D338+(C338+C339)/2*(A339-A338)*60)</f>
        <v/>
      </c>
      <c r="E339" s="20">
        <f>IF(OR(D339="",$B$18=""),"",D339/$B$18)</f>
        <v/>
      </c>
      <c r="F339" s="29">
        <f>IF(OR(C339="",$B$18=""),"",C339*60/$B$18)</f>
        <v/>
      </c>
    </row>
    <row r="340">
      <c r="A340" s="26" t="n"/>
      <c r="B340" s="44" t="n"/>
      <c r="C340" s="45">
        <f>IF(B340="","",$B$15*(B340-$B$14))</f>
        <v/>
      </c>
      <c r="D340" s="46">
        <f>IF(OR(A340="",C340="",D339="",C339=""),"",D339+(C339+C340)/2*(A340-A339)*60)</f>
        <v/>
      </c>
      <c r="E340" s="20">
        <f>IF(OR(D340="",$B$18=""),"",D340/$B$18)</f>
        <v/>
      </c>
      <c r="F340" s="29">
        <f>IF(OR(C340="",$B$18=""),"",C340*60/$B$18)</f>
        <v/>
      </c>
    </row>
    <row r="341">
      <c r="A341" s="26" t="n"/>
      <c r="B341" s="44" t="n"/>
      <c r="C341" s="45">
        <f>IF(B341="","",$B$15*(B341-$B$14))</f>
        <v/>
      </c>
      <c r="D341" s="46">
        <f>IF(OR(A341="",C341="",D340="",C340=""),"",D340+(C340+C341)/2*(A341-A340)*60)</f>
        <v/>
      </c>
      <c r="E341" s="20">
        <f>IF(OR(D341="",$B$18=""),"",D341/$B$18)</f>
        <v/>
      </c>
      <c r="F341" s="29">
        <f>IF(OR(C341="",$B$18=""),"",C341*60/$B$18)</f>
        <v/>
      </c>
    </row>
    <row r="342">
      <c r="A342" s="26" t="n"/>
      <c r="B342" s="44" t="n"/>
      <c r="C342" s="45">
        <f>IF(B342="","",$B$15*(B342-$B$14))</f>
        <v/>
      </c>
      <c r="D342" s="46">
        <f>IF(OR(A342="",C342="",D341="",C341=""),"",D341+(C341+C342)/2*(A342-A341)*60)</f>
        <v/>
      </c>
      <c r="E342" s="20">
        <f>IF(OR(D342="",$B$18=""),"",D342/$B$18)</f>
        <v/>
      </c>
      <c r="F342" s="29">
        <f>IF(OR(C342="",$B$18=""),"",C342*60/$B$18)</f>
        <v/>
      </c>
    </row>
    <row r="343">
      <c r="A343" s="26" t="n"/>
      <c r="B343" s="44" t="n"/>
      <c r="C343" s="45">
        <f>IF(B343="","",$B$15*(B343-$B$14))</f>
        <v/>
      </c>
      <c r="D343" s="46">
        <f>IF(OR(A343="",C343="",D342="",C342=""),"",D342+(C342+C343)/2*(A343-A342)*60)</f>
        <v/>
      </c>
      <c r="E343" s="20">
        <f>IF(OR(D343="",$B$18=""),"",D343/$B$18)</f>
        <v/>
      </c>
      <c r="F343" s="29">
        <f>IF(OR(C343="",$B$18=""),"",C343*60/$B$18)</f>
        <v/>
      </c>
    </row>
    <row r="344">
      <c r="A344" s="26" t="n"/>
      <c r="B344" s="44" t="n"/>
      <c r="C344" s="45">
        <f>IF(B344="","",$B$15*(B344-$B$14))</f>
        <v/>
      </c>
      <c r="D344" s="46">
        <f>IF(OR(A344="",C344="",D343="",C343=""),"",D343+(C343+C344)/2*(A344-A343)*60)</f>
        <v/>
      </c>
      <c r="E344" s="20">
        <f>IF(OR(D344="",$B$18=""),"",D344/$B$18)</f>
        <v/>
      </c>
      <c r="F344" s="29">
        <f>IF(OR(C344="",$B$18=""),"",C344*60/$B$18)</f>
        <v/>
      </c>
    </row>
    <row r="345">
      <c r="A345" s="26" t="n"/>
      <c r="B345" s="44" t="n"/>
      <c r="C345" s="45">
        <f>IF(B345="","",$B$15*(B345-$B$14))</f>
        <v/>
      </c>
      <c r="D345" s="46">
        <f>IF(OR(A345="",C345="",D344="",C344=""),"",D344+(C344+C345)/2*(A345-A344)*60)</f>
        <v/>
      </c>
      <c r="E345" s="20">
        <f>IF(OR(D345="",$B$18=""),"",D345/$B$18)</f>
        <v/>
      </c>
      <c r="F345" s="29">
        <f>IF(OR(C345="",$B$18=""),"",C345*60/$B$18)</f>
        <v/>
      </c>
    </row>
    <row r="346">
      <c r="A346" s="26" t="n"/>
      <c r="B346" s="44" t="n"/>
      <c r="C346" s="45">
        <f>IF(B346="","",$B$15*(B346-$B$14))</f>
        <v/>
      </c>
      <c r="D346" s="46">
        <f>IF(OR(A346="",C346="",D345="",C345=""),"",D345+(C345+C346)/2*(A346-A345)*60)</f>
        <v/>
      </c>
      <c r="E346" s="20">
        <f>IF(OR(D346="",$B$18=""),"",D346/$B$18)</f>
        <v/>
      </c>
      <c r="F346" s="29">
        <f>IF(OR(C346="",$B$18=""),"",C346*60/$B$18)</f>
        <v/>
      </c>
    </row>
    <row r="347">
      <c r="A347" s="26" t="n"/>
      <c r="B347" s="44" t="n"/>
      <c r="C347" s="45">
        <f>IF(B347="","",$B$15*(B347-$B$14))</f>
        <v/>
      </c>
      <c r="D347" s="46">
        <f>IF(OR(A347="",C347="",D346="",C346=""),"",D346+(C346+C347)/2*(A347-A346)*60)</f>
        <v/>
      </c>
      <c r="E347" s="20">
        <f>IF(OR(D347="",$B$18=""),"",D347/$B$18)</f>
        <v/>
      </c>
      <c r="F347" s="29">
        <f>IF(OR(C347="",$B$18=""),"",C347*60/$B$18)</f>
        <v/>
      </c>
    </row>
    <row r="348">
      <c r="A348" s="26" t="n"/>
      <c r="B348" s="44" t="n"/>
      <c r="C348" s="45">
        <f>IF(B348="","",$B$15*(B348-$B$14))</f>
        <v/>
      </c>
      <c r="D348" s="46">
        <f>IF(OR(A348="",C348="",D347="",C347=""),"",D347+(C347+C348)/2*(A348-A347)*60)</f>
        <v/>
      </c>
      <c r="E348" s="20">
        <f>IF(OR(D348="",$B$18=""),"",D348/$B$18)</f>
        <v/>
      </c>
      <c r="F348" s="29">
        <f>IF(OR(C348="",$B$18=""),"",C348*60/$B$18)</f>
        <v/>
      </c>
    </row>
    <row r="349">
      <c r="A349" s="26" t="n"/>
      <c r="B349" s="44" t="n"/>
      <c r="C349" s="45">
        <f>IF(B349="","",$B$15*(B349-$B$14))</f>
        <v/>
      </c>
      <c r="D349" s="46">
        <f>IF(OR(A349="",C349="",D348="",C348=""),"",D348+(C348+C349)/2*(A349-A348)*60)</f>
        <v/>
      </c>
      <c r="E349" s="20">
        <f>IF(OR(D349="",$B$18=""),"",D349/$B$18)</f>
        <v/>
      </c>
      <c r="F349" s="29">
        <f>IF(OR(C349="",$B$18=""),"",C349*60/$B$18)</f>
        <v/>
      </c>
    </row>
    <row r="350">
      <c r="A350" s="26" t="n"/>
      <c r="B350" s="44" t="n"/>
      <c r="C350" s="45">
        <f>IF(B350="","",$B$15*(B350-$B$14))</f>
        <v/>
      </c>
      <c r="D350" s="46">
        <f>IF(OR(A350="",C350="",D349="",C349=""),"",D349+(C349+C350)/2*(A350-A349)*60)</f>
        <v/>
      </c>
      <c r="E350" s="20">
        <f>IF(OR(D350="",$B$18=""),"",D350/$B$18)</f>
        <v/>
      </c>
      <c r="F350" s="29">
        <f>IF(OR(C350="",$B$18=""),"",C350*60/$B$18)</f>
        <v/>
      </c>
    </row>
    <row r="351">
      <c r="A351" s="26" t="n"/>
      <c r="B351" s="44" t="n"/>
      <c r="C351" s="45">
        <f>IF(B351="","",$B$15*(B351-$B$14))</f>
        <v/>
      </c>
      <c r="D351" s="46">
        <f>IF(OR(A351="",C351="",D350="",C350=""),"",D350+(C350+C351)/2*(A351-A350)*60)</f>
        <v/>
      </c>
      <c r="E351" s="20">
        <f>IF(OR(D351="",$B$18=""),"",D351/$B$18)</f>
        <v/>
      </c>
      <c r="F351" s="29">
        <f>IF(OR(C351="",$B$18=""),"",C351*60/$B$18)</f>
        <v/>
      </c>
    </row>
    <row r="352">
      <c r="A352" s="26" t="n"/>
      <c r="B352" s="44" t="n"/>
      <c r="C352" s="45">
        <f>IF(B352="","",$B$15*(B352-$B$14))</f>
        <v/>
      </c>
      <c r="D352" s="46">
        <f>IF(OR(A352="",C352="",D351="",C351=""),"",D351+(C351+C352)/2*(A352-A351)*60)</f>
        <v/>
      </c>
      <c r="E352" s="20">
        <f>IF(OR(D352="",$B$18=""),"",D352/$B$18)</f>
        <v/>
      </c>
      <c r="F352" s="29">
        <f>IF(OR(C352="",$B$18=""),"",C352*60/$B$18)</f>
        <v/>
      </c>
    </row>
    <row r="353">
      <c r="A353" s="26" t="n"/>
      <c r="B353" s="44" t="n"/>
      <c r="C353" s="45">
        <f>IF(B353="","",$B$15*(B353-$B$14))</f>
        <v/>
      </c>
      <c r="D353" s="46">
        <f>IF(OR(A353="",C353="",D352="",C352=""),"",D352+(C352+C353)/2*(A353-A352)*60)</f>
        <v/>
      </c>
      <c r="E353" s="20">
        <f>IF(OR(D353="",$B$18=""),"",D353/$B$18)</f>
        <v/>
      </c>
      <c r="F353" s="29">
        <f>IF(OR(C353="",$B$18=""),"",C353*60/$B$18)</f>
        <v/>
      </c>
    </row>
    <row r="354">
      <c r="A354" s="26" t="n"/>
      <c r="B354" s="44" t="n"/>
      <c r="C354" s="45">
        <f>IF(B354="","",$B$15*(B354-$B$14))</f>
        <v/>
      </c>
      <c r="D354" s="46">
        <f>IF(OR(A354="",C354="",D353="",C353=""),"",D353+(C353+C354)/2*(A354-A353)*60)</f>
        <v/>
      </c>
      <c r="E354" s="20">
        <f>IF(OR(D354="",$B$18=""),"",D354/$B$18)</f>
        <v/>
      </c>
      <c r="F354" s="29">
        <f>IF(OR(C354="",$B$18=""),"",C354*60/$B$18)</f>
        <v/>
      </c>
    </row>
    <row r="355">
      <c r="A355" s="26" t="n"/>
      <c r="B355" s="44" t="n"/>
      <c r="C355" s="45">
        <f>IF(B355="","",$B$15*(B355-$B$14))</f>
        <v/>
      </c>
      <c r="D355" s="46">
        <f>IF(OR(A355="",C355="",D354="",C354=""),"",D354+(C354+C355)/2*(A355-A354)*60)</f>
        <v/>
      </c>
      <c r="E355" s="20">
        <f>IF(OR(D355="",$B$18=""),"",D355/$B$18)</f>
        <v/>
      </c>
      <c r="F355" s="29">
        <f>IF(OR(C355="",$B$18=""),"",C355*60/$B$18)</f>
        <v/>
      </c>
    </row>
    <row r="356">
      <c r="A356" s="26" t="n"/>
      <c r="B356" s="44" t="n"/>
      <c r="C356" s="45">
        <f>IF(B356="","",$B$15*(B356-$B$14))</f>
        <v/>
      </c>
      <c r="D356" s="46">
        <f>IF(OR(A356="",C356="",D355="",C355=""),"",D355+(C355+C356)/2*(A356-A355)*60)</f>
        <v/>
      </c>
      <c r="E356" s="20">
        <f>IF(OR(D356="",$B$18=""),"",D356/$B$18)</f>
        <v/>
      </c>
      <c r="F356" s="29">
        <f>IF(OR(C356="",$B$18=""),"",C356*60/$B$18)</f>
        <v/>
      </c>
    </row>
    <row r="357">
      <c r="A357" s="26" t="n"/>
      <c r="B357" s="44" t="n"/>
      <c r="C357" s="45">
        <f>IF(B357="","",$B$15*(B357-$B$14))</f>
        <v/>
      </c>
      <c r="D357" s="46">
        <f>IF(OR(A357="",C357="",D356="",C356=""),"",D356+(C356+C357)/2*(A357-A356)*60)</f>
        <v/>
      </c>
      <c r="E357" s="20">
        <f>IF(OR(D357="",$B$18=""),"",D357/$B$18)</f>
        <v/>
      </c>
      <c r="F357" s="29">
        <f>IF(OR(C357="",$B$18=""),"",C357*60/$B$18)</f>
        <v/>
      </c>
    </row>
    <row r="358">
      <c r="A358" s="26" t="n"/>
      <c r="B358" s="44" t="n"/>
      <c r="C358" s="45">
        <f>IF(B358="","",$B$15*(B358-$B$14))</f>
        <v/>
      </c>
      <c r="D358" s="46">
        <f>IF(OR(A358="",C358="",D357="",C357=""),"",D357+(C357+C358)/2*(A358-A357)*60)</f>
        <v/>
      </c>
      <c r="E358" s="20">
        <f>IF(OR(D358="",$B$18=""),"",D358/$B$18)</f>
        <v/>
      </c>
      <c r="F358" s="29">
        <f>IF(OR(C358="",$B$18=""),"",C358*60/$B$18)</f>
        <v/>
      </c>
    </row>
    <row r="359">
      <c r="A359" s="26" t="n"/>
      <c r="B359" s="44" t="n"/>
      <c r="C359" s="45">
        <f>IF(B359="","",$B$15*(B359-$B$14))</f>
        <v/>
      </c>
      <c r="D359" s="46">
        <f>IF(OR(A359="",C359="",D358="",C358=""),"",D358+(C358+C359)/2*(A359-A358)*60)</f>
        <v/>
      </c>
      <c r="E359" s="20">
        <f>IF(OR(D359="",$B$18=""),"",D359/$B$18)</f>
        <v/>
      </c>
      <c r="F359" s="29">
        <f>IF(OR(C359="",$B$18=""),"",C359*60/$B$18)</f>
        <v/>
      </c>
    </row>
    <row r="360">
      <c r="A360" s="26" t="n"/>
      <c r="B360" s="44" t="n"/>
      <c r="C360" s="45">
        <f>IF(B360="","",$B$15*(B360-$B$14))</f>
        <v/>
      </c>
      <c r="D360" s="46">
        <f>IF(OR(A360="",C360="",D359="",C359=""),"",D359+(C359+C360)/2*(A360-A359)*60)</f>
        <v/>
      </c>
      <c r="E360" s="20">
        <f>IF(OR(D360="",$B$18=""),"",D360/$B$18)</f>
        <v/>
      </c>
      <c r="F360" s="29">
        <f>IF(OR(C360="",$B$18=""),"",C360*60/$B$18)</f>
        <v/>
      </c>
    </row>
    <row r="361">
      <c r="A361" s="26" t="n"/>
      <c r="B361" s="44" t="n"/>
      <c r="C361" s="45">
        <f>IF(B361="","",$B$15*(B361-$B$14))</f>
        <v/>
      </c>
      <c r="D361" s="46">
        <f>IF(OR(A361="",C361="",D360="",C360=""),"",D360+(C360+C361)/2*(A361-A360)*60)</f>
        <v/>
      </c>
      <c r="E361" s="20">
        <f>IF(OR(D361="",$B$18=""),"",D361/$B$18)</f>
        <v/>
      </c>
      <c r="F361" s="29">
        <f>IF(OR(C361="",$B$18=""),"",C361*60/$B$18)</f>
        <v/>
      </c>
    </row>
    <row r="362">
      <c r="A362" s="26" t="n"/>
      <c r="B362" s="44" t="n"/>
      <c r="C362" s="45">
        <f>IF(B362="","",$B$15*(B362-$B$14))</f>
        <v/>
      </c>
      <c r="D362" s="46">
        <f>IF(OR(A362="",C362="",D361="",C361=""),"",D361+(C361+C362)/2*(A362-A361)*60)</f>
        <v/>
      </c>
      <c r="E362" s="20">
        <f>IF(OR(D362="",$B$18=""),"",D362/$B$18)</f>
        <v/>
      </c>
      <c r="F362" s="29">
        <f>IF(OR(C362="",$B$18=""),"",C362*60/$B$18)</f>
        <v/>
      </c>
    </row>
    <row r="363">
      <c r="A363" s="26" t="n"/>
      <c r="B363" s="44" t="n"/>
      <c r="C363" s="45">
        <f>IF(B363="","",$B$15*(B363-$B$14))</f>
        <v/>
      </c>
      <c r="D363" s="46">
        <f>IF(OR(A363="",C363="",D362="",C362=""),"",D362+(C362+C363)/2*(A363-A362)*60)</f>
        <v/>
      </c>
      <c r="E363" s="20">
        <f>IF(OR(D363="",$B$18=""),"",D363/$B$18)</f>
        <v/>
      </c>
      <c r="F363" s="29">
        <f>IF(OR(C363="",$B$18=""),"",C363*60/$B$18)</f>
        <v/>
      </c>
    </row>
    <row r="364">
      <c r="A364" s="26" t="n"/>
      <c r="B364" s="44" t="n"/>
      <c r="C364" s="45">
        <f>IF(B364="","",$B$15*(B364-$B$14))</f>
        <v/>
      </c>
      <c r="D364" s="46">
        <f>IF(OR(A364="",C364="",D363="",C363=""),"",D363+(C363+C364)/2*(A364-A363)*60)</f>
        <v/>
      </c>
      <c r="E364" s="20">
        <f>IF(OR(D364="",$B$18=""),"",D364/$B$18)</f>
        <v/>
      </c>
      <c r="F364" s="29">
        <f>IF(OR(C364="",$B$18=""),"",C364*60/$B$18)</f>
        <v/>
      </c>
    </row>
    <row r="365">
      <c r="A365" s="26" t="n"/>
      <c r="B365" s="44" t="n"/>
      <c r="C365" s="45">
        <f>IF(B365="","",$B$15*(B365-$B$14))</f>
        <v/>
      </c>
      <c r="D365" s="46">
        <f>IF(OR(A365="",C365="",D364="",C364=""),"",D364+(C364+C365)/2*(A365-A364)*60)</f>
        <v/>
      </c>
      <c r="E365" s="20">
        <f>IF(OR(D365="",$B$18=""),"",D365/$B$18)</f>
        <v/>
      </c>
      <c r="F365" s="29">
        <f>IF(OR(C365="",$B$18=""),"",C365*60/$B$18)</f>
        <v/>
      </c>
    </row>
    <row r="366">
      <c r="A366" s="26" t="n"/>
      <c r="B366" s="44" t="n"/>
      <c r="C366" s="45">
        <f>IF(B366="","",$B$15*(B366-$B$14))</f>
        <v/>
      </c>
      <c r="D366" s="46">
        <f>IF(OR(A366="",C366="",D365="",C365=""),"",D365+(C365+C366)/2*(A366-A365)*60)</f>
        <v/>
      </c>
      <c r="E366" s="20">
        <f>IF(OR(D366="",$B$18=""),"",D366/$B$18)</f>
        <v/>
      </c>
      <c r="F366" s="29">
        <f>IF(OR(C366="",$B$18=""),"",C366*60/$B$18)</f>
        <v/>
      </c>
    </row>
    <row r="367">
      <c r="A367" s="26" t="n"/>
      <c r="B367" s="44" t="n"/>
      <c r="C367" s="45">
        <f>IF(B367="","",$B$15*(B367-$B$14))</f>
        <v/>
      </c>
      <c r="D367" s="46">
        <f>IF(OR(A367="",C367="",D366="",C366=""),"",D366+(C366+C367)/2*(A367-A366)*60)</f>
        <v/>
      </c>
      <c r="E367" s="20">
        <f>IF(OR(D367="",$B$18=""),"",D367/$B$18)</f>
        <v/>
      </c>
      <c r="F367" s="29">
        <f>IF(OR(C367="",$B$18=""),"",C367*60/$B$18)</f>
        <v/>
      </c>
    </row>
    <row r="368">
      <c r="A368" s="26" t="n"/>
      <c r="B368" s="44" t="n"/>
      <c r="C368" s="45">
        <f>IF(B368="","",$B$15*(B368-$B$14))</f>
        <v/>
      </c>
      <c r="D368" s="46">
        <f>IF(OR(A368="",C368="",D367="",C367=""),"",D367+(C367+C368)/2*(A368-A367)*60)</f>
        <v/>
      </c>
      <c r="E368" s="20">
        <f>IF(OR(D368="",$B$18=""),"",D368/$B$18)</f>
        <v/>
      </c>
      <c r="F368" s="29">
        <f>IF(OR(C368="",$B$18=""),"",C368*60/$B$18)</f>
        <v/>
      </c>
    </row>
    <row r="369">
      <c r="A369" s="26" t="n"/>
      <c r="B369" s="44" t="n"/>
      <c r="C369" s="45">
        <f>IF(B369="","",$B$15*(B369-$B$14))</f>
        <v/>
      </c>
      <c r="D369" s="46">
        <f>IF(OR(A369="",C369="",D368="",C368=""),"",D368+(C368+C369)/2*(A369-A368)*60)</f>
        <v/>
      </c>
      <c r="E369" s="20">
        <f>IF(OR(D369="",$B$18=""),"",D369/$B$18)</f>
        <v/>
      </c>
      <c r="F369" s="29">
        <f>IF(OR(C369="",$B$18=""),"",C369*60/$B$18)</f>
        <v/>
      </c>
    </row>
    <row r="370">
      <c r="A370" s="26" t="n"/>
      <c r="B370" s="44" t="n"/>
      <c r="C370" s="45">
        <f>IF(B370="","",$B$15*(B370-$B$14))</f>
        <v/>
      </c>
      <c r="D370" s="46">
        <f>IF(OR(A370="",C370="",D369="",C369=""),"",D369+(C369+C370)/2*(A370-A369)*60)</f>
        <v/>
      </c>
      <c r="E370" s="20">
        <f>IF(OR(D370="",$B$18=""),"",D370/$B$18)</f>
        <v/>
      </c>
      <c r="F370" s="29">
        <f>IF(OR(C370="",$B$18=""),"",C370*60/$B$18)</f>
        <v/>
      </c>
    </row>
    <row r="371">
      <c r="A371" s="26" t="n"/>
      <c r="B371" s="44" t="n"/>
      <c r="C371" s="45">
        <f>IF(B371="","",$B$15*(B371-$B$14))</f>
        <v/>
      </c>
      <c r="D371" s="46">
        <f>IF(OR(A371="",C371="",D370="",C370=""),"",D370+(C370+C371)/2*(A371-A370)*60)</f>
        <v/>
      </c>
      <c r="E371" s="20">
        <f>IF(OR(D371="",$B$18=""),"",D371/$B$18)</f>
        <v/>
      </c>
      <c r="F371" s="29">
        <f>IF(OR(C371="",$B$18=""),"",C371*60/$B$18)</f>
        <v/>
      </c>
    </row>
    <row r="372">
      <c r="A372" s="26" t="n"/>
      <c r="B372" s="44" t="n"/>
      <c r="C372" s="45">
        <f>IF(B372="","",$B$15*(B372-$B$14))</f>
        <v/>
      </c>
      <c r="D372" s="46">
        <f>IF(OR(A372="",C372="",D371="",C371=""),"",D371+(C371+C372)/2*(A372-A371)*60)</f>
        <v/>
      </c>
      <c r="E372" s="20">
        <f>IF(OR(D372="",$B$18=""),"",D372/$B$18)</f>
        <v/>
      </c>
      <c r="F372" s="29">
        <f>IF(OR(C372="",$B$18=""),"",C372*60/$B$18)</f>
        <v/>
      </c>
    </row>
    <row r="373">
      <c r="A373" s="26" t="n"/>
      <c r="B373" s="44" t="n"/>
      <c r="C373" s="45">
        <f>IF(B373="","",$B$15*(B373-$B$14))</f>
        <v/>
      </c>
      <c r="D373" s="46">
        <f>IF(OR(A373="",C373="",D372="",C372=""),"",D372+(C372+C373)/2*(A373-A372)*60)</f>
        <v/>
      </c>
      <c r="E373" s="20">
        <f>IF(OR(D373="",$B$18=""),"",D373/$B$18)</f>
        <v/>
      </c>
      <c r="F373" s="29">
        <f>IF(OR(C373="",$B$18=""),"",C373*60/$B$18)</f>
        <v/>
      </c>
    </row>
    <row r="374">
      <c r="A374" s="26" t="n"/>
      <c r="B374" s="44" t="n"/>
      <c r="C374" s="45">
        <f>IF(B374="","",$B$15*(B374-$B$14))</f>
        <v/>
      </c>
      <c r="D374" s="46">
        <f>IF(OR(A374="",C374="",D373="",C373=""),"",D373+(C373+C374)/2*(A374-A373)*60)</f>
        <v/>
      </c>
      <c r="E374" s="20">
        <f>IF(OR(D374="",$B$18=""),"",D374/$B$18)</f>
        <v/>
      </c>
      <c r="F374" s="29">
        <f>IF(OR(C374="",$B$18=""),"",C374*60/$B$18)</f>
        <v/>
      </c>
    </row>
    <row r="375">
      <c r="A375" s="26" t="n"/>
      <c r="B375" s="44" t="n"/>
      <c r="C375" s="45">
        <f>IF(B375="","",$B$15*(B375-$B$14))</f>
        <v/>
      </c>
      <c r="D375" s="46">
        <f>IF(OR(A375="",C375="",D374="",C374=""),"",D374+(C374+C375)/2*(A375-A374)*60)</f>
        <v/>
      </c>
      <c r="E375" s="20">
        <f>IF(OR(D375="",$B$18=""),"",D375/$B$18)</f>
        <v/>
      </c>
      <c r="F375" s="29">
        <f>IF(OR(C375="",$B$18=""),"",C375*60/$B$18)</f>
        <v/>
      </c>
    </row>
    <row r="376">
      <c r="A376" s="26" t="n"/>
      <c r="B376" s="44" t="n"/>
      <c r="C376" s="45">
        <f>IF(B376="","",$B$15*(B376-$B$14))</f>
        <v/>
      </c>
      <c r="D376" s="46">
        <f>IF(OR(A376="",C376="",D375="",C375=""),"",D375+(C375+C376)/2*(A376-A375)*60)</f>
        <v/>
      </c>
      <c r="E376" s="20">
        <f>IF(OR(D376="",$B$18=""),"",D376/$B$18)</f>
        <v/>
      </c>
      <c r="F376" s="29">
        <f>IF(OR(C376="",$B$18=""),"",C376*60/$B$18)</f>
        <v/>
      </c>
    </row>
    <row r="377">
      <c r="A377" s="26" t="n"/>
      <c r="B377" s="44" t="n"/>
      <c r="C377" s="45">
        <f>IF(B377="","",$B$15*(B377-$B$14))</f>
        <v/>
      </c>
      <c r="D377" s="46">
        <f>IF(OR(A377="",C377="",D376="",C376=""),"",D376+(C376+C377)/2*(A377-A376)*60)</f>
        <v/>
      </c>
      <c r="E377" s="20">
        <f>IF(OR(D377="",$B$18=""),"",D377/$B$18)</f>
        <v/>
      </c>
      <c r="F377" s="29">
        <f>IF(OR(C377="",$B$18=""),"",C377*60/$B$18)</f>
        <v/>
      </c>
    </row>
    <row r="378">
      <c r="A378" s="26" t="n"/>
      <c r="B378" s="44" t="n"/>
      <c r="C378" s="45">
        <f>IF(B378="","",$B$15*(B378-$B$14))</f>
        <v/>
      </c>
      <c r="D378" s="46">
        <f>IF(OR(A378="",C378="",D377="",C377=""),"",D377+(C377+C378)/2*(A378-A377)*60)</f>
        <v/>
      </c>
      <c r="E378" s="20">
        <f>IF(OR(D378="",$B$18=""),"",D378/$B$18)</f>
        <v/>
      </c>
      <c r="F378" s="29">
        <f>IF(OR(C378="",$B$18=""),"",C378*60/$B$18)</f>
        <v/>
      </c>
    </row>
    <row r="379">
      <c r="A379" s="26" t="n"/>
      <c r="B379" s="44" t="n"/>
      <c r="C379" s="45">
        <f>IF(B379="","",$B$15*(B379-$B$14))</f>
        <v/>
      </c>
      <c r="D379" s="46">
        <f>IF(OR(A379="",C379="",D378="",C378=""),"",D378+(C378+C379)/2*(A379-A378)*60)</f>
        <v/>
      </c>
      <c r="E379" s="20">
        <f>IF(OR(D379="",$B$18=""),"",D379/$B$18)</f>
        <v/>
      </c>
      <c r="F379" s="29">
        <f>IF(OR(C379="",$B$18=""),"",C379*60/$B$18)</f>
        <v/>
      </c>
    </row>
    <row r="380">
      <c r="A380" s="26" t="n"/>
      <c r="B380" s="44" t="n"/>
      <c r="C380" s="45">
        <f>IF(B380="","",$B$15*(B380-$B$14))</f>
        <v/>
      </c>
      <c r="D380" s="46">
        <f>IF(OR(A380="",C380="",D379="",C379=""),"",D379+(C379+C380)/2*(A380-A379)*60)</f>
        <v/>
      </c>
      <c r="E380" s="20">
        <f>IF(OR(D380="",$B$18=""),"",D380/$B$18)</f>
        <v/>
      </c>
      <c r="F380" s="29">
        <f>IF(OR(C380="",$B$18=""),"",C380*60/$B$18)</f>
        <v/>
      </c>
    </row>
    <row r="381">
      <c r="A381" s="26" t="n"/>
      <c r="B381" s="44" t="n"/>
      <c r="C381" s="45">
        <f>IF(B381="","",$B$15*(B381-$B$14))</f>
        <v/>
      </c>
      <c r="D381" s="46">
        <f>IF(OR(A381="",C381="",D380="",C380=""),"",D380+(C380+C381)/2*(A381-A380)*60)</f>
        <v/>
      </c>
      <c r="E381" s="20">
        <f>IF(OR(D381="",$B$18=""),"",D381/$B$18)</f>
        <v/>
      </c>
      <c r="F381" s="29">
        <f>IF(OR(C381="",$B$18=""),"",C381*60/$B$18)</f>
        <v/>
      </c>
    </row>
    <row r="382">
      <c r="A382" s="26" t="n"/>
      <c r="B382" s="44" t="n"/>
      <c r="C382" s="45">
        <f>IF(B382="","",$B$15*(B382-$B$14))</f>
        <v/>
      </c>
      <c r="D382" s="46">
        <f>IF(OR(A382="",C382="",D381="",C381=""),"",D381+(C381+C382)/2*(A382-A381)*60)</f>
        <v/>
      </c>
      <c r="E382" s="20">
        <f>IF(OR(D382="",$B$18=""),"",D382/$B$18)</f>
        <v/>
      </c>
      <c r="F382" s="29">
        <f>IF(OR(C382="",$B$18=""),"",C382*60/$B$18)</f>
        <v/>
      </c>
    </row>
    <row r="383">
      <c r="A383" s="26" t="n"/>
      <c r="B383" s="44" t="n"/>
      <c r="C383" s="45">
        <f>IF(B383="","",$B$15*(B383-$B$14))</f>
        <v/>
      </c>
      <c r="D383" s="46">
        <f>IF(OR(A383="",C383="",D382="",C382=""),"",D382+(C382+C383)/2*(A383-A382)*60)</f>
        <v/>
      </c>
      <c r="E383" s="20">
        <f>IF(OR(D383="",$B$18=""),"",D383/$B$18)</f>
        <v/>
      </c>
      <c r="F383" s="29">
        <f>IF(OR(C383="",$B$18=""),"",C383*60/$B$18)</f>
        <v/>
      </c>
    </row>
    <row r="384">
      <c r="A384" s="26" t="n"/>
      <c r="B384" s="44" t="n"/>
      <c r="C384" s="45">
        <f>IF(B384="","",$B$15*(B384-$B$14))</f>
        <v/>
      </c>
      <c r="D384" s="46">
        <f>IF(OR(A384="",C384="",D383="",C383=""),"",D383+(C383+C384)/2*(A384-A383)*60)</f>
        <v/>
      </c>
      <c r="E384" s="20">
        <f>IF(OR(D384="",$B$18=""),"",D384/$B$18)</f>
        <v/>
      </c>
      <c r="F384" s="29">
        <f>IF(OR(C384="",$B$18=""),"",C384*60/$B$18)</f>
        <v/>
      </c>
    </row>
    <row r="385">
      <c r="A385" s="26" t="n"/>
      <c r="B385" s="44" t="n"/>
      <c r="C385" s="45">
        <f>IF(B385="","",$B$15*(B385-$B$14))</f>
        <v/>
      </c>
      <c r="D385" s="46">
        <f>IF(OR(A385="",C385="",D384="",C384=""),"",D384+(C384+C385)/2*(A385-A384)*60)</f>
        <v/>
      </c>
      <c r="E385" s="20">
        <f>IF(OR(D385="",$B$18=""),"",D385/$B$18)</f>
        <v/>
      </c>
      <c r="F385" s="29">
        <f>IF(OR(C385="",$B$18=""),"",C385*60/$B$18)</f>
        <v/>
      </c>
    </row>
    <row r="386">
      <c r="A386" s="26" t="n"/>
      <c r="B386" s="44" t="n"/>
      <c r="C386" s="45">
        <f>IF(B386="","",$B$15*(B386-$B$14))</f>
        <v/>
      </c>
      <c r="D386" s="46">
        <f>IF(OR(A386="",C386="",D385="",C385=""),"",D385+(C385+C386)/2*(A386-A385)*60)</f>
        <v/>
      </c>
      <c r="E386" s="20">
        <f>IF(OR(D386="",$B$18=""),"",D386/$B$18)</f>
        <v/>
      </c>
      <c r="F386" s="29">
        <f>IF(OR(C386="",$B$18=""),"",C386*60/$B$18)</f>
        <v/>
      </c>
    </row>
    <row r="387">
      <c r="A387" s="26" t="n"/>
      <c r="B387" s="44" t="n"/>
      <c r="C387" s="45">
        <f>IF(B387="","",$B$15*(B387-$B$14))</f>
        <v/>
      </c>
      <c r="D387" s="46">
        <f>IF(OR(A387="",C387="",D386="",C386=""),"",D386+(C386+C387)/2*(A387-A386)*60)</f>
        <v/>
      </c>
      <c r="E387" s="20">
        <f>IF(OR(D387="",$B$18=""),"",D387/$B$18)</f>
        <v/>
      </c>
      <c r="F387" s="29">
        <f>IF(OR(C387="",$B$18=""),"",C387*60/$B$18)</f>
        <v/>
      </c>
    </row>
    <row r="388">
      <c r="A388" s="26" t="n"/>
      <c r="B388" s="44" t="n"/>
      <c r="C388" s="45">
        <f>IF(B388="","",$B$15*(B388-$B$14))</f>
        <v/>
      </c>
      <c r="D388" s="46">
        <f>IF(OR(A388="",C388="",D387="",C387=""),"",D387+(C387+C388)/2*(A388-A387)*60)</f>
        <v/>
      </c>
      <c r="E388" s="20">
        <f>IF(OR(D388="",$B$18=""),"",D388/$B$18)</f>
        <v/>
      </c>
      <c r="F388" s="29">
        <f>IF(OR(C388="",$B$18=""),"",C388*60/$B$18)</f>
        <v/>
      </c>
    </row>
    <row r="389">
      <c r="A389" s="26" t="n"/>
      <c r="B389" s="44" t="n"/>
      <c r="C389" s="45">
        <f>IF(B389="","",$B$15*(B389-$B$14))</f>
        <v/>
      </c>
      <c r="D389" s="46">
        <f>IF(OR(A389="",C389="",D388="",C388=""),"",D388+(C388+C389)/2*(A389-A388)*60)</f>
        <v/>
      </c>
      <c r="E389" s="20">
        <f>IF(OR(D389="",$B$18=""),"",D389/$B$18)</f>
        <v/>
      </c>
      <c r="F389" s="29">
        <f>IF(OR(C389="",$B$18=""),"",C389*60/$B$18)</f>
        <v/>
      </c>
    </row>
    <row r="390">
      <c r="A390" s="26" t="n"/>
      <c r="B390" s="44" t="n"/>
      <c r="C390" s="45">
        <f>IF(B390="","",$B$15*(B390-$B$14))</f>
        <v/>
      </c>
      <c r="D390" s="46">
        <f>IF(OR(A390="",C390="",D389="",C389=""),"",D389+(C389+C390)/2*(A390-A389)*60)</f>
        <v/>
      </c>
      <c r="E390" s="20">
        <f>IF(OR(D390="",$B$18=""),"",D390/$B$18)</f>
        <v/>
      </c>
      <c r="F390" s="29">
        <f>IF(OR(C390="",$B$18=""),"",C390*60/$B$18)</f>
        <v/>
      </c>
    </row>
    <row r="391">
      <c r="A391" s="26" t="n"/>
      <c r="B391" s="44" t="n"/>
      <c r="C391" s="45">
        <f>IF(B391="","",$B$15*(B391-$B$14))</f>
        <v/>
      </c>
      <c r="D391" s="46">
        <f>IF(OR(A391="",C391="",D390="",C390=""),"",D390+(C390+C391)/2*(A391-A390)*60)</f>
        <v/>
      </c>
      <c r="E391" s="20">
        <f>IF(OR(D391="",$B$18=""),"",D391/$B$18)</f>
        <v/>
      </c>
      <c r="F391" s="29">
        <f>IF(OR(C391="",$B$18=""),"",C391*60/$B$18)</f>
        <v/>
      </c>
    </row>
    <row r="392">
      <c r="A392" s="26" t="n"/>
      <c r="B392" s="44" t="n"/>
      <c r="C392" s="45">
        <f>IF(B392="","",$B$15*(B392-$B$14))</f>
        <v/>
      </c>
      <c r="D392" s="46">
        <f>IF(OR(A392="",C392="",D391="",C391=""),"",D391+(C391+C392)/2*(A392-A391)*60)</f>
        <v/>
      </c>
      <c r="E392" s="20">
        <f>IF(OR(D392="",$B$18=""),"",D392/$B$18)</f>
        <v/>
      </c>
      <c r="F392" s="29">
        <f>IF(OR(C392="",$B$18=""),"",C392*60/$B$18)</f>
        <v/>
      </c>
    </row>
    <row r="393">
      <c r="A393" s="26" t="n"/>
      <c r="B393" s="44" t="n"/>
      <c r="C393" s="45">
        <f>IF(B393="","",$B$15*(B393-$B$14))</f>
        <v/>
      </c>
      <c r="D393" s="46">
        <f>IF(OR(A393="",C393="",D392="",C392=""),"",D392+(C392+C393)/2*(A393-A392)*60)</f>
        <v/>
      </c>
      <c r="E393" s="20">
        <f>IF(OR(D393="",$B$18=""),"",D393/$B$18)</f>
        <v/>
      </c>
      <c r="F393" s="29">
        <f>IF(OR(C393="",$B$18=""),"",C393*60/$B$18)</f>
        <v/>
      </c>
    </row>
    <row r="394">
      <c r="A394" s="26" t="n"/>
      <c r="B394" s="44" t="n"/>
      <c r="C394" s="45">
        <f>IF(B394="","",$B$15*(B394-$B$14))</f>
        <v/>
      </c>
      <c r="D394" s="46">
        <f>IF(OR(A394="",C394="",D393="",C393=""),"",D393+(C393+C394)/2*(A394-A393)*60)</f>
        <v/>
      </c>
      <c r="E394" s="20">
        <f>IF(OR(D394="",$B$18=""),"",D394/$B$18)</f>
        <v/>
      </c>
      <c r="F394" s="29">
        <f>IF(OR(C394="",$B$18=""),"",C394*60/$B$18)</f>
        <v/>
      </c>
    </row>
    <row r="395">
      <c r="A395" s="26" t="n"/>
      <c r="B395" s="44" t="n"/>
      <c r="C395" s="45">
        <f>IF(B395="","",$B$15*(B395-$B$14))</f>
        <v/>
      </c>
      <c r="D395" s="46">
        <f>IF(OR(A395="",C395="",D394="",C394=""),"",D394+(C394+C395)/2*(A395-A394)*60)</f>
        <v/>
      </c>
      <c r="E395" s="20">
        <f>IF(OR(D395="",$B$18=""),"",D395/$B$18)</f>
        <v/>
      </c>
      <c r="F395" s="29">
        <f>IF(OR(C395="",$B$18=""),"",C395*60/$B$18)</f>
        <v/>
      </c>
    </row>
    <row r="396">
      <c r="A396" s="26" t="n"/>
      <c r="B396" s="44" t="n"/>
      <c r="C396" s="45">
        <f>IF(B396="","",$B$15*(B396-$B$14))</f>
        <v/>
      </c>
      <c r="D396" s="46">
        <f>IF(OR(A396="",C396="",D395="",C395=""),"",D395+(C395+C396)/2*(A396-A395)*60)</f>
        <v/>
      </c>
      <c r="E396" s="20">
        <f>IF(OR(D396="",$B$18=""),"",D396/$B$18)</f>
        <v/>
      </c>
      <c r="F396" s="29">
        <f>IF(OR(C396="",$B$18=""),"",C396*60/$B$18)</f>
        <v/>
      </c>
    </row>
    <row r="397">
      <c r="A397" s="26" t="n"/>
      <c r="B397" s="44" t="n"/>
      <c r="C397" s="45">
        <f>IF(B397="","",$B$15*(B397-$B$14))</f>
        <v/>
      </c>
      <c r="D397" s="46">
        <f>IF(OR(A397="",C397="",D396="",C396=""),"",D396+(C396+C397)/2*(A397-A396)*60)</f>
        <v/>
      </c>
      <c r="E397" s="20">
        <f>IF(OR(D397="",$B$18=""),"",D397/$B$18)</f>
        <v/>
      </c>
      <c r="F397" s="29">
        <f>IF(OR(C397="",$B$18=""),"",C397*60/$B$18)</f>
        <v/>
      </c>
    </row>
    <row r="398">
      <c r="A398" s="26" t="n"/>
      <c r="B398" s="44" t="n"/>
      <c r="C398" s="45">
        <f>IF(B398="","",$B$15*(B398-$B$14))</f>
        <v/>
      </c>
      <c r="D398" s="46">
        <f>IF(OR(A398="",C398="",D397="",C397=""),"",D397+(C397+C398)/2*(A398-A397)*60)</f>
        <v/>
      </c>
      <c r="E398" s="20">
        <f>IF(OR(D398="",$B$18=""),"",D398/$B$18)</f>
        <v/>
      </c>
      <c r="F398" s="29">
        <f>IF(OR(C398="",$B$18=""),"",C398*60/$B$18)</f>
        <v/>
      </c>
    </row>
    <row r="399">
      <c r="A399" s="26" t="n"/>
      <c r="B399" s="44" t="n"/>
      <c r="C399" s="45">
        <f>IF(B399="","",$B$15*(B399-$B$14))</f>
        <v/>
      </c>
      <c r="D399" s="46">
        <f>IF(OR(A399="",C399="",D398="",C398=""),"",D398+(C398+C399)/2*(A399-A398)*60)</f>
        <v/>
      </c>
      <c r="E399" s="20">
        <f>IF(OR(D399="",$B$18=""),"",D399/$B$18)</f>
        <v/>
      </c>
      <c r="F399" s="29">
        <f>IF(OR(C399="",$B$18=""),"",C399*60/$B$18)</f>
        <v/>
      </c>
    </row>
    <row r="400">
      <c r="A400" s="26" t="n"/>
      <c r="B400" s="44" t="n"/>
      <c r="C400" s="45">
        <f>IF(B400="","",$B$15*(B400-$B$14))</f>
        <v/>
      </c>
      <c r="D400" s="46">
        <f>IF(OR(A400="",C400="",D399="",C399=""),"",D399+(C399+C400)/2*(A400-A399)*60)</f>
        <v/>
      </c>
      <c r="E400" s="20">
        <f>IF(OR(D400="",$B$18=""),"",D400/$B$18)</f>
        <v/>
      </c>
      <c r="F400" s="29">
        <f>IF(OR(C400="",$B$18=""),"",C400*60/$B$18)</f>
        <v/>
      </c>
    </row>
    <row r="401">
      <c r="A401" s="26" t="n"/>
      <c r="B401" s="44" t="n"/>
      <c r="C401" s="45">
        <f>IF(B401="","",$B$15*(B401-$B$14))</f>
        <v/>
      </c>
      <c r="D401" s="46">
        <f>IF(OR(A401="",C401="",D400="",C400=""),"",D400+(C400+C401)/2*(A401-A400)*60)</f>
        <v/>
      </c>
      <c r="E401" s="20">
        <f>IF(OR(D401="",$B$18=""),"",D401/$B$18)</f>
        <v/>
      </c>
      <c r="F401" s="29">
        <f>IF(OR(C401="",$B$18=""),"",C401*60/$B$18)</f>
        <v/>
      </c>
    </row>
    <row r="402">
      <c r="A402" s="26" t="n"/>
      <c r="B402" s="44" t="n"/>
      <c r="C402" s="45">
        <f>IF(B402="","",$B$15*(B402-$B$14))</f>
        <v/>
      </c>
      <c r="D402" s="46">
        <f>IF(OR(A402="",C402="",D401="",C401=""),"",D401+(C401+C402)/2*(A402-A401)*60)</f>
        <v/>
      </c>
      <c r="E402" s="20">
        <f>IF(OR(D402="",$B$18=""),"",D402/$B$18)</f>
        <v/>
      </c>
      <c r="F402" s="29">
        <f>IF(OR(C402="",$B$18=""),"",C402*60/$B$18)</f>
        <v/>
      </c>
    </row>
    <row r="403">
      <c r="A403" s="26" t="n"/>
      <c r="B403" s="44" t="n"/>
      <c r="C403" s="45">
        <f>IF(B403="","",$B$15*(B403-$B$14))</f>
        <v/>
      </c>
      <c r="D403" s="46">
        <f>IF(OR(A403="",C403="",D402="",C402=""),"",D402+(C402+C403)/2*(A403-A402)*60)</f>
        <v/>
      </c>
      <c r="E403" s="20">
        <f>IF(OR(D403="",$B$18=""),"",D403/$B$18)</f>
        <v/>
      </c>
      <c r="F403" s="29">
        <f>IF(OR(C403="",$B$18=""),"",C403*60/$B$18)</f>
        <v/>
      </c>
    </row>
    <row r="404">
      <c r="A404" s="26" t="n"/>
      <c r="B404" s="44" t="n"/>
      <c r="C404" s="45">
        <f>IF(B404="","",$B$15*(B404-$B$14))</f>
        <v/>
      </c>
      <c r="D404" s="46">
        <f>IF(OR(A404="",C404="",D403="",C403=""),"",D403+(C403+C404)/2*(A404-A403)*60)</f>
        <v/>
      </c>
      <c r="E404" s="20">
        <f>IF(OR(D404="",$B$18=""),"",D404/$B$18)</f>
        <v/>
      </c>
      <c r="F404" s="29">
        <f>IF(OR(C404="",$B$18=""),"",C404*60/$B$18)</f>
        <v/>
      </c>
    </row>
    <row r="405">
      <c r="A405" s="26" t="n"/>
      <c r="B405" s="44" t="n"/>
      <c r="C405" s="45">
        <f>IF(B405="","",$B$15*(B405-$B$14))</f>
        <v/>
      </c>
      <c r="D405" s="46">
        <f>IF(OR(A405="",C405="",D404="",C404=""),"",D404+(C404+C405)/2*(A405-A404)*60)</f>
        <v/>
      </c>
      <c r="E405" s="20">
        <f>IF(OR(D405="",$B$18=""),"",D405/$B$18)</f>
        <v/>
      </c>
      <c r="F405" s="29">
        <f>IF(OR(C405="",$B$18=""),"",C405*60/$B$18)</f>
        <v/>
      </c>
    </row>
    <row r="406">
      <c r="A406" s="26" t="n"/>
      <c r="B406" s="44" t="n"/>
      <c r="C406" s="45">
        <f>IF(B406="","",$B$15*(B406-$B$14))</f>
        <v/>
      </c>
      <c r="D406" s="46">
        <f>IF(OR(A406="",C406="",D405="",C405=""),"",D405+(C405+C406)/2*(A406-A405)*60)</f>
        <v/>
      </c>
      <c r="E406" s="20">
        <f>IF(OR(D406="",$B$18=""),"",D406/$B$18)</f>
        <v/>
      </c>
      <c r="F406" s="29">
        <f>IF(OR(C406="",$B$18=""),"",C406*60/$B$18)</f>
        <v/>
      </c>
    </row>
    <row r="407">
      <c r="A407" s="26" t="n"/>
      <c r="B407" s="44" t="n"/>
      <c r="C407" s="45">
        <f>IF(B407="","",$B$15*(B407-$B$14))</f>
        <v/>
      </c>
      <c r="D407" s="46">
        <f>IF(OR(A407="",C407="",D406="",C406=""),"",D406+(C406+C407)/2*(A407-A406)*60)</f>
        <v/>
      </c>
      <c r="E407" s="20">
        <f>IF(OR(D407="",$B$18=""),"",D407/$B$18)</f>
        <v/>
      </c>
      <c r="F407" s="29">
        <f>IF(OR(C407="",$B$18=""),"",C407*60/$B$18)</f>
        <v/>
      </c>
    </row>
    <row r="408">
      <c r="A408" s="26" t="n"/>
      <c r="B408" s="44" t="n"/>
      <c r="C408" s="45">
        <f>IF(B408="","",$B$15*(B408-$B$14))</f>
        <v/>
      </c>
      <c r="D408" s="46">
        <f>IF(OR(A408="",C408="",D407="",C407=""),"",D407+(C407+C408)/2*(A408-A407)*60)</f>
        <v/>
      </c>
      <c r="E408" s="20">
        <f>IF(OR(D408="",$B$18=""),"",D408/$B$18)</f>
        <v/>
      </c>
      <c r="F408" s="29">
        <f>IF(OR(C408="",$B$18=""),"",C408*60/$B$18)</f>
        <v/>
      </c>
    </row>
    <row r="409">
      <c r="A409" s="26" t="n"/>
      <c r="B409" s="44" t="n"/>
      <c r="C409" s="45">
        <f>IF(B409="","",$B$15*(B409-$B$14))</f>
        <v/>
      </c>
      <c r="D409" s="46">
        <f>IF(OR(A409="",C409="",D408="",C408=""),"",D408+(C408+C409)/2*(A409-A408)*60)</f>
        <v/>
      </c>
      <c r="E409" s="20">
        <f>IF(OR(D409="",$B$18=""),"",D409/$B$18)</f>
        <v/>
      </c>
      <c r="F409" s="29">
        <f>IF(OR(C409="",$B$18=""),"",C409*60/$B$18)</f>
        <v/>
      </c>
    </row>
    <row r="410">
      <c r="A410" s="26" t="n"/>
      <c r="B410" s="44" t="n"/>
      <c r="C410" s="45">
        <f>IF(B410="","",$B$15*(B410-$B$14))</f>
        <v/>
      </c>
      <c r="D410" s="46">
        <f>IF(OR(A410="",C410="",D409="",C409=""),"",D409+(C409+C410)/2*(A410-A409)*60)</f>
        <v/>
      </c>
      <c r="E410" s="20">
        <f>IF(OR(D410="",$B$18=""),"",D410/$B$18)</f>
        <v/>
      </c>
      <c r="F410" s="29">
        <f>IF(OR(C410="",$B$18=""),"",C410*60/$B$18)</f>
        <v/>
      </c>
    </row>
    <row r="411">
      <c r="A411" s="26" t="n"/>
      <c r="B411" s="44" t="n"/>
      <c r="C411" s="45">
        <f>IF(B411="","",$B$15*(B411-$B$14))</f>
        <v/>
      </c>
      <c r="D411" s="46">
        <f>IF(OR(A411="",C411="",D410="",C410=""),"",D410+(C410+C411)/2*(A411-A410)*60)</f>
        <v/>
      </c>
      <c r="E411" s="20">
        <f>IF(OR(D411="",$B$18=""),"",D411/$B$18)</f>
        <v/>
      </c>
      <c r="F411" s="29">
        <f>IF(OR(C411="",$B$18=""),"",C411*60/$B$18)</f>
        <v/>
      </c>
    </row>
    <row r="412">
      <c r="A412" s="26" t="n"/>
      <c r="B412" s="44" t="n"/>
      <c r="C412" s="45">
        <f>IF(B412="","",$B$15*(B412-$B$14))</f>
        <v/>
      </c>
      <c r="D412" s="46">
        <f>IF(OR(A412="",C412="",D411="",C411=""),"",D411+(C411+C412)/2*(A412-A411)*60)</f>
        <v/>
      </c>
      <c r="E412" s="20">
        <f>IF(OR(D412="",$B$18=""),"",D412/$B$18)</f>
        <v/>
      </c>
      <c r="F412" s="29">
        <f>IF(OR(C412="",$B$18=""),"",C412*60/$B$18)</f>
        <v/>
      </c>
    </row>
    <row r="413">
      <c r="A413" s="26" t="n"/>
      <c r="B413" s="44" t="n"/>
      <c r="C413" s="45">
        <f>IF(B413="","",$B$15*(B413-$B$14))</f>
        <v/>
      </c>
      <c r="D413" s="46">
        <f>IF(OR(A413="",C413="",D412="",C412=""),"",D412+(C412+C413)/2*(A413-A412)*60)</f>
        <v/>
      </c>
      <c r="E413" s="20">
        <f>IF(OR(D413="",$B$18=""),"",D413/$B$18)</f>
        <v/>
      </c>
      <c r="F413" s="29">
        <f>IF(OR(C413="",$B$18=""),"",C413*60/$B$18)</f>
        <v/>
      </c>
    </row>
    <row r="414">
      <c r="A414" s="26" t="n"/>
      <c r="B414" s="44" t="n"/>
      <c r="C414" s="45">
        <f>IF(B414="","",$B$15*(B414-$B$14))</f>
        <v/>
      </c>
      <c r="D414" s="46">
        <f>IF(OR(A414="",C414="",D413="",C413=""),"",D413+(C413+C414)/2*(A414-A413)*60)</f>
        <v/>
      </c>
      <c r="E414" s="20">
        <f>IF(OR(D414="",$B$18=""),"",D414/$B$18)</f>
        <v/>
      </c>
      <c r="F414" s="29">
        <f>IF(OR(C414="",$B$18=""),"",C414*60/$B$18)</f>
        <v/>
      </c>
    </row>
    <row r="415">
      <c r="A415" s="26" t="n"/>
      <c r="B415" s="44" t="n"/>
      <c r="C415" s="45">
        <f>IF(B415="","",$B$15*(B415-$B$14))</f>
        <v/>
      </c>
      <c r="D415" s="46">
        <f>IF(OR(A415="",C415="",D414="",C414=""),"",D414+(C414+C415)/2*(A415-A414)*60)</f>
        <v/>
      </c>
      <c r="E415" s="20">
        <f>IF(OR(D415="",$B$18=""),"",D415/$B$18)</f>
        <v/>
      </c>
      <c r="F415" s="29">
        <f>IF(OR(C415="",$B$18=""),"",C415*60/$B$18)</f>
        <v/>
      </c>
    </row>
    <row r="416">
      <c r="A416" s="26" t="n"/>
      <c r="B416" s="44" t="n"/>
      <c r="C416" s="45">
        <f>IF(B416="","",$B$15*(B416-$B$14))</f>
        <v/>
      </c>
      <c r="D416" s="46">
        <f>IF(OR(A416="",C416="",D415="",C415=""),"",D415+(C415+C416)/2*(A416-A415)*60)</f>
        <v/>
      </c>
      <c r="E416" s="20">
        <f>IF(OR(D416="",$B$18=""),"",D416/$B$18)</f>
        <v/>
      </c>
      <c r="F416" s="29">
        <f>IF(OR(C416="",$B$18=""),"",C416*60/$B$18)</f>
        <v/>
      </c>
    </row>
    <row r="417">
      <c r="A417" s="26" t="n"/>
      <c r="B417" s="44" t="n"/>
      <c r="C417" s="45">
        <f>IF(B417="","",$B$15*(B417-$B$14))</f>
        <v/>
      </c>
      <c r="D417" s="46">
        <f>IF(OR(A417="",C417="",D416="",C416=""),"",D416+(C416+C417)/2*(A417-A416)*60)</f>
        <v/>
      </c>
      <c r="E417" s="20">
        <f>IF(OR(D417="",$B$18=""),"",D417/$B$18)</f>
        <v/>
      </c>
      <c r="F417" s="29">
        <f>IF(OR(C417="",$B$18=""),"",C417*60/$B$18)</f>
        <v/>
      </c>
    </row>
    <row r="418">
      <c r="A418" s="26" t="n"/>
      <c r="B418" s="44" t="n"/>
      <c r="C418" s="45">
        <f>IF(B418="","",$B$15*(B418-$B$14))</f>
        <v/>
      </c>
      <c r="D418" s="46">
        <f>IF(OR(A418="",C418="",D417="",C417=""),"",D417+(C417+C418)/2*(A418-A417)*60)</f>
        <v/>
      </c>
      <c r="E418" s="20">
        <f>IF(OR(D418="",$B$18=""),"",D418/$B$18)</f>
        <v/>
      </c>
      <c r="F418" s="29">
        <f>IF(OR(C418="",$B$18=""),"",C418*60/$B$18)</f>
        <v/>
      </c>
    </row>
    <row r="419">
      <c r="A419" s="26" t="n"/>
      <c r="B419" s="44" t="n"/>
      <c r="C419" s="45">
        <f>IF(B419="","",$B$15*(B419-$B$14))</f>
        <v/>
      </c>
      <c r="D419" s="46">
        <f>IF(OR(A419="",C419="",D418="",C418=""),"",D418+(C418+C419)/2*(A419-A418)*60)</f>
        <v/>
      </c>
      <c r="E419" s="20">
        <f>IF(OR(D419="",$B$18=""),"",D419/$B$18)</f>
        <v/>
      </c>
      <c r="F419" s="29">
        <f>IF(OR(C419="",$B$18=""),"",C419*60/$B$18)</f>
        <v/>
      </c>
    </row>
    <row r="420">
      <c r="A420" s="26" t="n"/>
      <c r="B420" s="44" t="n"/>
      <c r="C420" s="45">
        <f>IF(B420="","",$B$15*(B420-$B$14))</f>
        <v/>
      </c>
      <c r="D420" s="46">
        <f>IF(OR(A420="",C420="",D419="",C419=""),"",D419+(C419+C420)/2*(A420-A419)*60)</f>
        <v/>
      </c>
      <c r="E420" s="20">
        <f>IF(OR(D420="",$B$18=""),"",D420/$B$18)</f>
        <v/>
      </c>
      <c r="F420" s="29">
        <f>IF(OR(C420="",$B$18=""),"",C420*60/$B$18)</f>
        <v/>
      </c>
    </row>
    <row r="421">
      <c r="A421" s="26" t="n"/>
      <c r="B421" s="44" t="n"/>
      <c r="C421" s="45">
        <f>IF(B421="","",$B$15*(B421-$B$14))</f>
        <v/>
      </c>
      <c r="D421" s="46">
        <f>IF(OR(A421="",C421="",D420="",C420=""),"",D420+(C420+C421)/2*(A421-A420)*60)</f>
        <v/>
      </c>
      <c r="E421" s="20">
        <f>IF(OR(D421="",$B$18=""),"",D421/$B$18)</f>
        <v/>
      </c>
      <c r="F421" s="29">
        <f>IF(OR(C421="",$B$18=""),"",C421*60/$B$18)</f>
        <v/>
      </c>
    </row>
    <row r="422">
      <c r="A422" s="26" t="n"/>
      <c r="B422" s="44" t="n"/>
      <c r="C422" s="45">
        <f>IF(B422="","",$B$15*(B422-$B$14))</f>
        <v/>
      </c>
      <c r="D422" s="46">
        <f>IF(OR(A422="",C422="",D421="",C421=""),"",D421+(C421+C422)/2*(A422-A421)*60)</f>
        <v/>
      </c>
      <c r="E422" s="20">
        <f>IF(OR(D422="",$B$18=""),"",D422/$B$18)</f>
        <v/>
      </c>
      <c r="F422" s="29">
        <f>IF(OR(C422="",$B$18=""),"",C422*60/$B$18)</f>
        <v/>
      </c>
    </row>
    <row r="423">
      <c r="A423" s="26" t="n"/>
      <c r="B423" s="44" t="n"/>
      <c r="C423" s="45">
        <f>IF(B423="","",$B$15*(B423-$B$14))</f>
        <v/>
      </c>
      <c r="D423" s="46">
        <f>IF(OR(A423="",C423="",D422="",C422=""),"",D422+(C422+C423)/2*(A423-A422)*60)</f>
        <v/>
      </c>
      <c r="E423" s="20">
        <f>IF(OR(D423="",$B$18=""),"",D423/$B$18)</f>
        <v/>
      </c>
      <c r="F423" s="29">
        <f>IF(OR(C423="",$B$18=""),"",C423*60/$B$18)</f>
        <v/>
      </c>
    </row>
    <row r="424">
      <c r="A424" s="26" t="n"/>
      <c r="B424" s="44" t="n"/>
      <c r="C424" s="45">
        <f>IF(B424="","",$B$15*(B424-$B$14))</f>
        <v/>
      </c>
      <c r="D424" s="46">
        <f>IF(OR(A424="",C424="",D423="",C423=""),"",D423+(C423+C424)/2*(A424-A423)*60)</f>
        <v/>
      </c>
      <c r="E424" s="20">
        <f>IF(OR(D424="",$B$18=""),"",D424/$B$18)</f>
        <v/>
      </c>
      <c r="F424" s="29">
        <f>IF(OR(C424="",$B$18=""),"",C424*60/$B$18)</f>
        <v/>
      </c>
    </row>
    <row r="425">
      <c r="A425" s="26" t="n"/>
      <c r="B425" s="44" t="n"/>
      <c r="C425" s="45">
        <f>IF(B425="","",$B$15*(B425-$B$14))</f>
        <v/>
      </c>
      <c r="D425" s="46">
        <f>IF(OR(A425="",C425="",D424="",C424=""),"",D424+(C424+C425)/2*(A425-A424)*60)</f>
        <v/>
      </c>
      <c r="E425" s="20">
        <f>IF(OR(D425="",$B$18=""),"",D425/$B$18)</f>
        <v/>
      </c>
      <c r="F425" s="29">
        <f>IF(OR(C425="",$B$18=""),"",C425*60/$B$18)</f>
        <v/>
      </c>
    </row>
    <row r="426">
      <c r="A426" s="26" t="n"/>
      <c r="B426" s="44" t="n"/>
      <c r="C426" s="45">
        <f>IF(B426="","",$B$15*(B426-$B$14))</f>
        <v/>
      </c>
      <c r="D426" s="46">
        <f>IF(OR(A426="",C426="",D425="",C425=""),"",D425+(C425+C426)/2*(A426-A425)*60)</f>
        <v/>
      </c>
      <c r="E426" s="20">
        <f>IF(OR(D426="",$B$18=""),"",D426/$B$18)</f>
        <v/>
      </c>
      <c r="F426" s="29">
        <f>IF(OR(C426="",$B$18=""),"",C426*60/$B$18)</f>
        <v/>
      </c>
    </row>
    <row r="427">
      <c r="A427" s="26" t="n"/>
      <c r="B427" s="44" t="n"/>
      <c r="C427" s="45">
        <f>IF(B427="","",$B$15*(B427-$B$14))</f>
        <v/>
      </c>
      <c r="D427" s="46">
        <f>IF(OR(A427="",C427="",D426="",C426=""),"",D426+(C426+C427)/2*(A427-A426)*60)</f>
        <v/>
      </c>
      <c r="E427" s="20">
        <f>IF(OR(D427="",$B$18=""),"",D427/$B$18)</f>
        <v/>
      </c>
      <c r="F427" s="29">
        <f>IF(OR(C427="",$B$18=""),"",C427*60/$B$18)</f>
        <v/>
      </c>
    </row>
    <row r="428">
      <c r="A428" s="26" t="n"/>
      <c r="B428" s="44" t="n"/>
      <c r="C428" s="45">
        <f>IF(B428="","",$B$15*(B428-$B$14))</f>
        <v/>
      </c>
      <c r="D428" s="46">
        <f>IF(OR(A428="",C428="",D427="",C427=""),"",D427+(C427+C428)/2*(A428-A427)*60)</f>
        <v/>
      </c>
      <c r="E428" s="20">
        <f>IF(OR(D428="",$B$18=""),"",D428/$B$18)</f>
        <v/>
      </c>
      <c r="F428" s="29">
        <f>IF(OR(C428="",$B$18=""),"",C428*60/$B$18)</f>
        <v/>
      </c>
    </row>
    <row r="429">
      <c r="A429" s="26" t="n"/>
      <c r="B429" s="44" t="n"/>
      <c r="C429" s="45">
        <f>IF(B429="","",$B$15*(B429-$B$14))</f>
        <v/>
      </c>
      <c r="D429" s="46">
        <f>IF(OR(A429="",C429="",D428="",C428=""),"",D428+(C428+C429)/2*(A429-A428)*60)</f>
        <v/>
      </c>
      <c r="E429" s="20">
        <f>IF(OR(D429="",$B$18=""),"",D429/$B$18)</f>
        <v/>
      </c>
      <c r="F429" s="29">
        <f>IF(OR(C429="",$B$18=""),"",C429*60/$B$18)</f>
        <v/>
      </c>
    </row>
    <row r="430">
      <c r="A430" s="26" t="n"/>
      <c r="B430" s="44" t="n"/>
      <c r="C430" s="45">
        <f>IF(B430="","",$B$15*(B430-$B$14))</f>
        <v/>
      </c>
      <c r="D430" s="46">
        <f>IF(OR(A430="",C430="",D429="",C429=""),"",D429+(C429+C430)/2*(A430-A429)*60)</f>
        <v/>
      </c>
      <c r="E430" s="20">
        <f>IF(OR(D430="",$B$18=""),"",D430/$B$18)</f>
        <v/>
      </c>
      <c r="F430" s="29">
        <f>IF(OR(C430="",$B$18=""),"",C430*60/$B$18)</f>
        <v/>
      </c>
    </row>
    <row r="431">
      <c r="A431" s="26" t="n"/>
      <c r="B431" s="44" t="n"/>
      <c r="C431" s="45">
        <f>IF(B431="","",$B$15*(B431-$B$14))</f>
        <v/>
      </c>
      <c r="D431" s="46">
        <f>IF(OR(A431="",C431="",D430="",C430=""),"",D430+(C430+C431)/2*(A431-A430)*60)</f>
        <v/>
      </c>
      <c r="E431" s="20">
        <f>IF(OR(D431="",$B$18=""),"",D431/$B$18)</f>
        <v/>
      </c>
      <c r="F431" s="29">
        <f>IF(OR(C431="",$B$18=""),"",C431*60/$B$18)</f>
        <v/>
      </c>
    </row>
    <row r="432">
      <c r="A432" s="26" t="n"/>
      <c r="B432" s="44" t="n"/>
      <c r="C432" s="45">
        <f>IF(B432="","",$B$15*(B432-$B$14))</f>
        <v/>
      </c>
      <c r="D432" s="46">
        <f>IF(OR(A432="",C432="",D431="",C431=""),"",D431+(C431+C432)/2*(A432-A431)*60)</f>
        <v/>
      </c>
      <c r="E432" s="20">
        <f>IF(OR(D432="",$B$18=""),"",D432/$B$18)</f>
        <v/>
      </c>
      <c r="F432" s="29">
        <f>IF(OR(C432="",$B$18=""),"",C432*60/$B$18)</f>
        <v/>
      </c>
    </row>
    <row r="433">
      <c r="A433" s="26" t="n"/>
      <c r="B433" s="44" t="n"/>
      <c r="C433" s="45">
        <f>IF(B433="","",$B$15*(B433-$B$14))</f>
        <v/>
      </c>
      <c r="D433" s="46">
        <f>IF(OR(A433="",C433="",D432="",C432=""),"",D432+(C432+C433)/2*(A433-A432)*60)</f>
        <v/>
      </c>
      <c r="E433" s="20">
        <f>IF(OR(D433="",$B$18=""),"",D433/$B$18)</f>
        <v/>
      </c>
      <c r="F433" s="29">
        <f>IF(OR(C433="",$B$18=""),"",C433*60/$B$18)</f>
        <v/>
      </c>
    </row>
    <row r="434">
      <c r="A434" s="26" t="n"/>
      <c r="B434" s="44" t="n"/>
      <c r="C434" s="45">
        <f>IF(B434="","",$B$15*(B434-$B$14))</f>
        <v/>
      </c>
      <c r="D434" s="46">
        <f>IF(OR(A434="",C434="",D433="",C433=""),"",D433+(C433+C434)/2*(A434-A433)*60)</f>
        <v/>
      </c>
      <c r="E434" s="20">
        <f>IF(OR(D434="",$B$18=""),"",D434/$B$18)</f>
        <v/>
      </c>
      <c r="F434" s="29">
        <f>IF(OR(C434="",$B$18=""),"",C434*60/$B$18)</f>
        <v/>
      </c>
    </row>
    <row r="435">
      <c r="A435" s="26" t="n"/>
      <c r="B435" s="44" t="n"/>
      <c r="C435" s="45">
        <f>IF(B435="","",$B$15*(B435-$B$14))</f>
        <v/>
      </c>
      <c r="D435" s="46">
        <f>IF(OR(A435="",C435="",D434="",C434=""),"",D434+(C434+C435)/2*(A435-A434)*60)</f>
        <v/>
      </c>
      <c r="E435" s="20">
        <f>IF(OR(D435="",$B$18=""),"",D435/$B$18)</f>
        <v/>
      </c>
      <c r="F435" s="29">
        <f>IF(OR(C435="",$B$18=""),"",C435*60/$B$18)</f>
        <v/>
      </c>
    </row>
    <row r="436">
      <c r="A436" s="26" t="n"/>
      <c r="B436" s="44" t="n"/>
      <c r="C436" s="45">
        <f>IF(B436="","",$B$15*(B436-$B$14))</f>
        <v/>
      </c>
      <c r="D436" s="46">
        <f>IF(OR(A436="",C436="",D435="",C435=""),"",D435+(C435+C436)/2*(A436-A435)*60)</f>
        <v/>
      </c>
      <c r="E436" s="20">
        <f>IF(OR(D436="",$B$18=""),"",D436/$B$18)</f>
        <v/>
      </c>
      <c r="F436" s="29">
        <f>IF(OR(C436="",$B$18=""),"",C436*60/$B$18)</f>
        <v/>
      </c>
    </row>
    <row r="437">
      <c r="A437" s="26" t="n"/>
      <c r="B437" s="44" t="n"/>
      <c r="C437" s="45">
        <f>IF(B437="","",$B$15*(B437-$B$14))</f>
        <v/>
      </c>
      <c r="D437" s="46">
        <f>IF(OR(A437="",C437="",D436="",C436=""),"",D436+(C436+C437)/2*(A437-A436)*60)</f>
        <v/>
      </c>
      <c r="E437" s="20">
        <f>IF(OR(D437="",$B$18=""),"",D437/$B$18)</f>
        <v/>
      </c>
      <c r="F437" s="29">
        <f>IF(OR(C437="",$B$18=""),"",C437*60/$B$18)</f>
        <v/>
      </c>
    </row>
    <row r="438">
      <c r="A438" s="26" t="n"/>
      <c r="B438" s="44" t="n"/>
      <c r="C438" s="45">
        <f>IF(B438="","",$B$15*(B438-$B$14))</f>
        <v/>
      </c>
      <c r="D438" s="46">
        <f>IF(OR(A438="",C438="",D437="",C437=""),"",D437+(C437+C438)/2*(A438-A437)*60)</f>
        <v/>
      </c>
      <c r="E438" s="20">
        <f>IF(OR(D438="",$B$18=""),"",D438/$B$18)</f>
        <v/>
      </c>
      <c r="F438" s="29">
        <f>IF(OR(C438="",$B$18=""),"",C438*60/$B$18)</f>
        <v/>
      </c>
    </row>
    <row r="439">
      <c r="A439" s="26" t="n"/>
      <c r="B439" s="44" t="n"/>
      <c r="C439" s="45">
        <f>IF(B439="","",$B$15*(B439-$B$14))</f>
        <v/>
      </c>
      <c r="D439" s="46">
        <f>IF(OR(A439="",C439="",D438="",C438=""),"",D438+(C438+C439)/2*(A439-A438)*60)</f>
        <v/>
      </c>
      <c r="E439" s="20">
        <f>IF(OR(D439="",$B$18=""),"",D439/$B$18)</f>
        <v/>
      </c>
      <c r="F439" s="29">
        <f>IF(OR(C439="",$B$18=""),"",C439*60/$B$18)</f>
        <v/>
      </c>
    </row>
    <row r="440">
      <c r="A440" s="26" t="n"/>
      <c r="B440" s="44" t="n"/>
      <c r="C440" s="45">
        <f>IF(B440="","",$B$15*(B440-$B$14))</f>
        <v/>
      </c>
      <c r="D440" s="46">
        <f>IF(OR(A440="",C440="",D439="",C439=""),"",D439+(C439+C440)/2*(A440-A439)*60)</f>
        <v/>
      </c>
      <c r="E440" s="20">
        <f>IF(OR(D440="",$B$18=""),"",D440/$B$18)</f>
        <v/>
      </c>
      <c r="F440" s="29">
        <f>IF(OR(C440="",$B$18=""),"",C440*60/$B$18)</f>
        <v/>
      </c>
    </row>
    <row r="441">
      <c r="A441" s="26" t="n"/>
      <c r="B441" s="44" t="n"/>
      <c r="C441" s="45">
        <f>IF(B441="","",$B$15*(B441-$B$14))</f>
        <v/>
      </c>
      <c r="D441" s="46">
        <f>IF(OR(A441="",C441="",D440="",C440=""),"",D440+(C440+C441)/2*(A441-A440)*60)</f>
        <v/>
      </c>
      <c r="E441" s="20">
        <f>IF(OR(D441="",$B$18=""),"",D441/$B$18)</f>
        <v/>
      </c>
      <c r="F441" s="29">
        <f>IF(OR(C441="",$B$18=""),"",C441*60/$B$18)</f>
        <v/>
      </c>
    </row>
    <row r="442">
      <c r="A442" s="26" t="n"/>
      <c r="B442" s="44" t="n"/>
      <c r="C442" s="45">
        <f>IF(B442="","",$B$15*(B442-$B$14))</f>
        <v/>
      </c>
      <c r="D442" s="46">
        <f>IF(OR(A442="",C442="",D441="",C441=""),"",D441+(C441+C442)/2*(A442-A441)*60)</f>
        <v/>
      </c>
      <c r="E442" s="20">
        <f>IF(OR(D442="",$B$18=""),"",D442/$B$18)</f>
        <v/>
      </c>
      <c r="F442" s="29">
        <f>IF(OR(C442="",$B$18=""),"",C442*60/$B$18)</f>
        <v/>
      </c>
    </row>
    <row r="443">
      <c r="A443" s="26" t="n"/>
      <c r="B443" s="44" t="n"/>
      <c r="C443" s="45">
        <f>IF(B443="","",$B$15*(B443-$B$14))</f>
        <v/>
      </c>
      <c r="D443" s="46">
        <f>IF(OR(A443="",C443="",D442="",C442=""),"",D442+(C442+C443)/2*(A443-A442)*60)</f>
        <v/>
      </c>
      <c r="E443" s="20">
        <f>IF(OR(D443="",$B$18=""),"",D443/$B$18)</f>
        <v/>
      </c>
      <c r="F443" s="29">
        <f>IF(OR(C443="",$B$18=""),"",C443*60/$B$18)</f>
        <v/>
      </c>
    </row>
    <row r="444">
      <c r="A444" s="26" t="n"/>
      <c r="B444" s="44" t="n"/>
      <c r="C444" s="45">
        <f>IF(B444="","",$B$15*(B444-$B$14))</f>
        <v/>
      </c>
      <c r="D444" s="46">
        <f>IF(OR(A444="",C444="",D443="",C443=""),"",D443+(C443+C444)/2*(A444-A443)*60)</f>
        <v/>
      </c>
      <c r="E444" s="20">
        <f>IF(OR(D444="",$B$18=""),"",D444/$B$18)</f>
        <v/>
      </c>
      <c r="F444" s="29">
        <f>IF(OR(C444="",$B$18=""),"",C444*60/$B$18)</f>
        <v/>
      </c>
    </row>
    <row r="445">
      <c r="A445" s="26" t="n"/>
      <c r="B445" s="44" t="n"/>
      <c r="C445" s="45">
        <f>IF(B445="","",$B$15*(B445-$B$14))</f>
        <v/>
      </c>
      <c r="D445" s="46">
        <f>IF(OR(A445="",C445="",D444="",C444=""),"",D444+(C444+C445)/2*(A445-A444)*60)</f>
        <v/>
      </c>
      <c r="E445" s="20">
        <f>IF(OR(D445="",$B$18=""),"",D445/$B$18)</f>
        <v/>
      </c>
      <c r="F445" s="29">
        <f>IF(OR(C445="",$B$18=""),"",C445*60/$B$18)</f>
        <v/>
      </c>
    </row>
    <row r="446">
      <c r="A446" s="26" t="n"/>
      <c r="B446" s="44" t="n"/>
      <c r="C446" s="45">
        <f>IF(B446="","",$B$15*(B446-$B$14))</f>
        <v/>
      </c>
      <c r="D446" s="46">
        <f>IF(OR(A446="",C446="",D445="",C445=""),"",D445+(C445+C446)/2*(A446-A445)*60)</f>
        <v/>
      </c>
      <c r="E446" s="20">
        <f>IF(OR(D446="",$B$18=""),"",D446/$B$18)</f>
        <v/>
      </c>
      <c r="F446" s="29">
        <f>IF(OR(C446="",$B$18=""),"",C446*60/$B$18)</f>
        <v/>
      </c>
    </row>
    <row r="447">
      <c r="A447" s="26" t="n"/>
      <c r="B447" s="44" t="n"/>
      <c r="C447" s="45">
        <f>IF(B447="","",$B$15*(B447-$B$14))</f>
        <v/>
      </c>
      <c r="D447" s="46">
        <f>IF(OR(A447="",C447="",D446="",C446=""),"",D446+(C446+C447)/2*(A447-A446)*60)</f>
        <v/>
      </c>
      <c r="E447" s="20">
        <f>IF(OR(D447="",$B$18=""),"",D447/$B$18)</f>
        <v/>
      </c>
      <c r="F447" s="29">
        <f>IF(OR(C447="",$B$18=""),"",C447*60/$B$18)</f>
        <v/>
      </c>
    </row>
    <row r="448">
      <c r="A448" s="26" t="n"/>
      <c r="B448" s="44" t="n"/>
      <c r="C448" s="45">
        <f>IF(B448="","",$B$15*(B448-$B$14))</f>
        <v/>
      </c>
      <c r="D448" s="46">
        <f>IF(OR(A448="",C448="",D447="",C447=""),"",D447+(C447+C448)/2*(A448-A447)*60)</f>
        <v/>
      </c>
      <c r="E448" s="20">
        <f>IF(OR(D448="",$B$18=""),"",D448/$B$18)</f>
        <v/>
      </c>
      <c r="F448" s="29">
        <f>IF(OR(C448="",$B$18=""),"",C448*60/$B$18)</f>
        <v/>
      </c>
    </row>
    <row r="449">
      <c r="A449" s="26" t="n"/>
      <c r="B449" s="44" t="n"/>
      <c r="C449" s="45">
        <f>IF(B449="","",$B$15*(B449-$B$14))</f>
        <v/>
      </c>
      <c r="D449" s="46">
        <f>IF(OR(A449="",C449="",D448="",C448=""),"",D448+(C448+C449)/2*(A449-A448)*60)</f>
        <v/>
      </c>
      <c r="E449" s="20">
        <f>IF(OR(D449="",$B$18=""),"",D449/$B$18)</f>
        <v/>
      </c>
      <c r="F449" s="29">
        <f>IF(OR(C449="",$B$18=""),"",C449*60/$B$18)</f>
        <v/>
      </c>
    </row>
    <row r="450">
      <c r="A450" s="26" t="n"/>
      <c r="B450" s="44" t="n"/>
      <c r="C450" s="45">
        <f>IF(B450="","",$B$15*(B450-$B$14))</f>
        <v/>
      </c>
      <c r="D450" s="46">
        <f>IF(OR(A450="",C450="",D449="",C449=""),"",D449+(C449+C450)/2*(A450-A449)*60)</f>
        <v/>
      </c>
      <c r="E450" s="20">
        <f>IF(OR(D450="",$B$18=""),"",D450/$B$18)</f>
        <v/>
      </c>
      <c r="F450" s="29">
        <f>IF(OR(C450="",$B$18=""),"",C450*60/$B$18)</f>
        <v/>
      </c>
    </row>
    <row r="451">
      <c r="A451" s="26" t="n"/>
      <c r="B451" s="44" t="n"/>
      <c r="C451" s="45">
        <f>IF(B451="","",$B$15*(B451-$B$14))</f>
        <v/>
      </c>
      <c r="D451" s="46">
        <f>IF(OR(A451="",C451="",D450="",C450=""),"",D450+(C450+C451)/2*(A451-A450)*60)</f>
        <v/>
      </c>
      <c r="E451" s="20">
        <f>IF(OR(D451="",$B$18=""),"",D451/$B$18)</f>
        <v/>
      </c>
      <c r="F451" s="29">
        <f>IF(OR(C451="",$B$18=""),"",C451*60/$B$18)</f>
        <v/>
      </c>
    </row>
    <row r="452">
      <c r="A452" s="26" t="n"/>
      <c r="B452" s="44" t="n"/>
      <c r="C452" s="45">
        <f>IF(B452="","",$B$15*(B452-$B$14))</f>
        <v/>
      </c>
      <c r="D452" s="46">
        <f>IF(OR(A452="",C452="",D451="",C451=""),"",D451+(C451+C452)/2*(A452-A451)*60)</f>
        <v/>
      </c>
      <c r="E452" s="20">
        <f>IF(OR(D452="",$B$18=""),"",D452/$B$18)</f>
        <v/>
      </c>
      <c r="F452" s="29">
        <f>IF(OR(C452="",$B$18=""),"",C452*60/$B$18)</f>
        <v/>
      </c>
    </row>
    <row r="453">
      <c r="A453" s="26" t="n"/>
      <c r="B453" s="44" t="n"/>
      <c r="C453" s="45">
        <f>IF(B453="","",$B$15*(B453-$B$14))</f>
        <v/>
      </c>
      <c r="D453" s="46">
        <f>IF(OR(A453="",C453="",D452="",C452=""),"",D452+(C452+C453)/2*(A453-A452)*60)</f>
        <v/>
      </c>
      <c r="E453" s="20">
        <f>IF(OR(D453="",$B$18=""),"",D453/$B$18)</f>
        <v/>
      </c>
      <c r="F453" s="29">
        <f>IF(OR(C453="",$B$18=""),"",C453*60/$B$18)</f>
        <v/>
      </c>
    </row>
    <row r="454">
      <c r="A454" s="26" t="n"/>
      <c r="B454" s="44" t="n"/>
      <c r="C454" s="45">
        <f>IF(B454="","",$B$15*(B454-$B$14))</f>
        <v/>
      </c>
      <c r="D454" s="46">
        <f>IF(OR(A454="",C454="",D453="",C453=""),"",D453+(C453+C454)/2*(A454-A453)*60)</f>
        <v/>
      </c>
      <c r="E454" s="20">
        <f>IF(OR(D454="",$B$18=""),"",D454/$B$18)</f>
        <v/>
      </c>
      <c r="F454" s="29">
        <f>IF(OR(C454="",$B$18=""),"",C454*60/$B$18)</f>
        <v/>
      </c>
    </row>
    <row r="455">
      <c r="A455" s="26" t="n"/>
      <c r="B455" s="44" t="n"/>
      <c r="C455" s="45">
        <f>IF(B455="","",$B$15*(B455-$B$14))</f>
        <v/>
      </c>
      <c r="D455" s="46">
        <f>IF(OR(A455="",C455="",D454="",C454=""),"",D454+(C454+C455)/2*(A455-A454)*60)</f>
        <v/>
      </c>
      <c r="E455" s="20">
        <f>IF(OR(D455="",$B$18=""),"",D455/$B$18)</f>
        <v/>
      </c>
      <c r="F455" s="29">
        <f>IF(OR(C455="",$B$18=""),"",C455*60/$B$18)</f>
        <v/>
      </c>
    </row>
    <row r="456">
      <c r="A456" s="26" t="n"/>
      <c r="B456" s="44" t="n"/>
      <c r="C456" s="45">
        <f>IF(B456="","",$B$15*(B456-$B$14))</f>
        <v/>
      </c>
      <c r="D456" s="46">
        <f>IF(OR(A456="",C456="",D455="",C455=""),"",D455+(C455+C456)/2*(A456-A455)*60)</f>
        <v/>
      </c>
      <c r="E456" s="20">
        <f>IF(OR(D456="",$B$18=""),"",D456/$B$18)</f>
        <v/>
      </c>
      <c r="F456" s="29">
        <f>IF(OR(C456="",$B$18=""),"",C456*60/$B$18)</f>
        <v/>
      </c>
    </row>
    <row r="457">
      <c r="A457" s="26" t="n"/>
      <c r="B457" s="44" t="n"/>
      <c r="C457" s="45">
        <f>IF(B457="","",$B$15*(B457-$B$14))</f>
        <v/>
      </c>
      <c r="D457" s="46">
        <f>IF(OR(A457="",C457="",D456="",C456=""),"",D456+(C456+C457)/2*(A457-A456)*60)</f>
        <v/>
      </c>
      <c r="E457" s="20">
        <f>IF(OR(D457="",$B$18=""),"",D457/$B$18)</f>
        <v/>
      </c>
      <c r="F457" s="29">
        <f>IF(OR(C457="",$B$18=""),"",C457*60/$B$18)</f>
        <v/>
      </c>
    </row>
    <row r="458">
      <c r="A458" s="26" t="n"/>
      <c r="B458" s="44" t="n"/>
      <c r="C458" s="45">
        <f>IF(B458="","",$B$15*(B458-$B$14))</f>
        <v/>
      </c>
      <c r="D458" s="46">
        <f>IF(OR(A458="",C458="",D457="",C457=""),"",D457+(C457+C458)/2*(A458-A457)*60)</f>
        <v/>
      </c>
      <c r="E458" s="20">
        <f>IF(OR(D458="",$B$18=""),"",D458/$B$18)</f>
        <v/>
      </c>
      <c r="F458" s="29">
        <f>IF(OR(C458="",$B$18=""),"",C458*60/$B$18)</f>
        <v/>
      </c>
    </row>
    <row r="459">
      <c r="A459" s="26" t="n"/>
      <c r="B459" s="44" t="n"/>
      <c r="C459" s="45">
        <f>IF(B459="","",$B$15*(B459-$B$14))</f>
        <v/>
      </c>
      <c r="D459" s="46">
        <f>IF(OR(A459="",C459="",D458="",C458=""),"",D458+(C458+C459)/2*(A459-A458)*60)</f>
        <v/>
      </c>
      <c r="E459" s="20">
        <f>IF(OR(D459="",$B$18=""),"",D459/$B$18)</f>
        <v/>
      </c>
      <c r="F459" s="29">
        <f>IF(OR(C459="",$B$18=""),"",C459*60/$B$18)</f>
        <v/>
      </c>
    </row>
    <row r="460">
      <c r="A460" s="26" t="n"/>
      <c r="B460" s="44" t="n"/>
      <c r="C460" s="45">
        <f>IF(B460="","",$B$15*(B460-$B$14))</f>
        <v/>
      </c>
      <c r="D460" s="46">
        <f>IF(OR(A460="",C460="",D459="",C459=""),"",D459+(C459+C460)/2*(A460-A459)*60)</f>
        <v/>
      </c>
      <c r="E460" s="20">
        <f>IF(OR(D460="",$B$18=""),"",D460/$B$18)</f>
        <v/>
      </c>
      <c r="F460" s="29">
        <f>IF(OR(C460="",$B$18=""),"",C460*60/$B$18)</f>
        <v/>
      </c>
    </row>
    <row r="461">
      <c r="A461" s="26" t="n"/>
      <c r="B461" s="44" t="n"/>
      <c r="C461" s="45">
        <f>IF(B461="","",$B$15*(B461-$B$14))</f>
        <v/>
      </c>
      <c r="D461" s="46">
        <f>IF(OR(A461="",C461="",D460="",C460=""),"",D460+(C460+C461)/2*(A461-A460)*60)</f>
        <v/>
      </c>
      <c r="E461" s="20">
        <f>IF(OR(D461="",$B$18=""),"",D461/$B$18)</f>
        <v/>
      </c>
      <c r="F461" s="29">
        <f>IF(OR(C461="",$B$18=""),"",C461*60/$B$18)</f>
        <v/>
      </c>
    </row>
    <row r="462">
      <c r="A462" s="26" t="n"/>
      <c r="B462" s="44" t="n"/>
      <c r="C462" s="45">
        <f>IF(B462="","",$B$15*(B462-$B$14))</f>
        <v/>
      </c>
      <c r="D462" s="46">
        <f>IF(OR(A462="",C462="",D461="",C461=""),"",D461+(C461+C462)/2*(A462-A461)*60)</f>
        <v/>
      </c>
      <c r="E462" s="20">
        <f>IF(OR(D462="",$B$18=""),"",D462/$B$18)</f>
        <v/>
      </c>
      <c r="F462" s="29">
        <f>IF(OR(C462="",$B$18=""),"",C462*60/$B$18)</f>
        <v/>
      </c>
    </row>
    <row r="463">
      <c r="A463" s="26" t="n"/>
      <c r="B463" s="44" t="n"/>
      <c r="C463" s="45">
        <f>IF(B463="","",$B$15*(B463-$B$14))</f>
        <v/>
      </c>
      <c r="D463" s="46">
        <f>IF(OR(A463="",C463="",D462="",C462=""),"",D462+(C462+C463)/2*(A463-A462)*60)</f>
        <v/>
      </c>
      <c r="E463" s="20">
        <f>IF(OR(D463="",$B$18=""),"",D463/$B$18)</f>
        <v/>
      </c>
      <c r="F463" s="29">
        <f>IF(OR(C463="",$B$18=""),"",C463*60/$B$18)</f>
        <v/>
      </c>
    </row>
    <row r="464">
      <c r="A464" s="26" t="n"/>
      <c r="B464" s="44" t="n"/>
      <c r="C464" s="45">
        <f>IF(B464="","",$B$15*(B464-$B$14))</f>
        <v/>
      </c>
      <c r="D464" s="46">
        <f>IF(OR(A464="",C464="",D463="",C463=""),"",D463+(C463+C464)/2*(A464-A463)*60)</f>
        <v/>
      </c>
      <c r="E464" s="20">
        <f>IF(OR(D464="",$B$18=""),"",D464/$B$18)</f>
        <v/>
      </c>
      <c r="F464" s="29">
        <f>IF(OR(C464="",$B$18=""),"",C464*60/$B$18)</f>
        <v/>
      </c>
    </row>
    <row r="465">
      <c r="A465" s="26" t="n"/>
      <c r="B465" s="44" t="n"/>
      <c r="C465" s="45">
        <f>IF(B465="","",$B$15*(B465-$B$14))</f>
        <v/>
      </c>
      <c r="D465" s="46">
        <f>IF(OR(A465="",C465="",D464="",C464=""),"",D464+(C464+C465)/2*(A465-A464)*60)</f>
        <v/>
      </c>
      <c r="E465" s="20">
        <f>IF(OR(D465="",$B$18=""),"",D465/$B$18)</f>
        <v/>
      </c>
      <c r="F465" s="29">
        <f>IF(OR(C465="",$B$18=""),"",C465*60/$B$18)</f>
        <v/>
      </c>
    </row>
    <row r="466">
      <c r="A466" s="26" t="n"/>
      <c r="B466" s="44" t="n"/>
      <c r="C466" s="45">
        <f>IF(B466="","",$B$15*(B466-$B$14))</f>
        <v/>
      </c>
      <c r="D466" s="46">
        <f>IF(OR(A466="",C466="",D465="",C465=""),"",D465+(C465+C466)/2*(A466-A465)*60)</f>
        <v/>
      </c>
      <c r="E466" s="20">
        <f>IF(OR(D466="",$B$18=""),"",D466/$B$18)</f>
        <v/>
      </c>
      <c r="F466" s="29">
        <f>IF(OR(C466="",$B$18=""),"",C466*60/$B$18)</f>
        <v/>
      </c>
    </row>
    <row r="467">
      <c r="A467" s="26" t="n"/>
      <c r="B467" s="44" t="n"/>
      <c r="C467" s="45">
        <f>IF(B467="","",$B$15*(B467-$B$14))</f>
        <v/>
      </c>
      <c r="D467" s="46">
        <f>IF(OR(A467="",C467="",D466="",C466=""),"",D466+(C466+C467)/2*(A467-A466)*60)</f>
        <v/>
      </c>
      <c r="E467" s="20">
        <f>IF(OR(D467="",$B$18=""),"",D467/$B$18)</f>
        <v/>
      </c>
      <c r="F467" s="29">
        <f>IF(OR(C467="",$B$18=""),"",C467*60/$B$18)</f>
        <v/>
      </c>
    </row>
    <row r="468">
      <c r="A468" s="26" t="n"/>
      <c r="B468" s="44" t="n"/>
      <c r="C468" s="45">
        <f>IF(B468="","",$B$15*(B468-$B$14))</f>
        <v/>
      </c>
      <c r="D468" s="46">
        <f>IF(OR(A468="",C468="",D467="",C467=""),"",D467+(C467+C468)/2*(A468-A467)*60)</f>
        <v/>
      </c>
      <c r="E468" s="20">
        <f>IF(OR(D468="",$B$18=""),"",D468/$B$18)</f>
        <v/>
      </c>
      <c r="F468" s="29">
        <f>IF(OR(C468="",$B$18=""),"",C468*60/$B$18)</f>
        <v/>
      </c>
    </row>
    <row r="469">
      <c r="A469" s="26" t="n"/>
      <c r="B469" s="44" t="n"/>
      <c r="C469" s="45">
        <f>IF(B469="","",$B$15*(B469-$B$14))</f>
        <v/>
      </c>
      <c r="D469" s="46">
        <f>IF(OR(A469="",C469="",D468="",C468=""),"",D468+(C468+C469)/2*(A469-A468)*60)</f>
        <v/>
      </c>
      <c r="E469" s="20">
        <f>IF(OR(D469="",$B$18=""),"",D469/$B$18)</f>
        <v/>
      </c>
      <c r="F469" s="29">
        <f>IF(OR(C469="",$B$18=""),"",C469*60/$B$18)</f>
        <v/>
      </c>
    </row>
    <row r="470">
      <c r="A470" s="26" t="n"/>
      <c r="B470" s="44" t="n"/>
      <c r="C470" s="45">
        <f>IF(B470="","",$B$15*(B470-$B$14))</f>
        <v/>
      </c>
      <c r="D470" s="46">
        <f>IF(OR(A470="",C470="",D469="",C469=""),"",D469+(C469+C470)/2*(A470-A469)*60)</f>
        <v/>
      </c>
      <c r="E470" s="20">
        <f>IF(OR(D470="",$B$18=""),"",D470/$B$18)</f>
        <v/>
      </c>
      <c r="F470" s="29">
        <f>IF(OR(C470="",$B$18=""),"",C470*60/$B$18)</f>
        <v/>
      </c>
    </row>
    <row r="471">
      <c r="A471" s="26" t="n"/>
      <c r="B471" s="44" t="n"/>
      <c r="C471" s="45">
        <f>IF(B471="","",$B$15*(B471-$B$14))</f>
        <v/>
      </c>
      <c r="D471" s="46">
        <f>IF(OR(A471="",C471="",D470="",C470=""),"",D470+(C470+C471)/2*(A471-A470)*60)</f>
        <v/>
      </c>
      <c r="E471" s="20">
        <f>IF(OR(D471="",$B$18=""),"",D471/$B$18)</f>
        <v/>
      </c>
      <c r="F471" s="29">
        <f>IF(OR(C471="",$B$18=""),"",C471*60/$B$18)</f>
        <v/>
      </c>
    </row>
    <row r="472">
      <c r="A472" s="26" t="n"/>
      <c r="B472" s="44" t="n"/>
      <c r="C472" s="45">
        <f>IF(B472="","",$B$15*(B472-$B$14))</f>
        <v/>
      </c>
      <c r="D472" s="46">
        <f>IF(OR(A472="",C472="",D471="",C471=""),"",D471+(C471+C472)/2*(A472-A471)*60)</f>
        <v/>
      </c>
      <c r="E472" s="20">
        <f>IF(OR(D472="",$B$18=""),"",D472/$B$18)</f>
        <v/>
      </c>
      <c r="F472" s="29">
        <f>IF(OR(C472="",$B$18=""),"",C472*60/$B$18)</f>
        <v/>
      </c>
    </row>
    <row r="473">
      <c r="A473" s="26" t="n"/>
      <c r="B473" s="44" t="n"/>
      <c r="C473" s="45">
        <f>IF(B473="","",$B$15*(B473-$B$14))</f>
        <v/>
      </c>
      <c r="D473" s="46">
        <f>IF(OR(A473="",C473="",D472="",C472=""),"",D472+(C472+C473)/2*(A473-A472)*60)</f>
        <v/>
      </c>
      <c r="E473" s="20">
        <f>IF(OR(D473="",$B$18=""),"",D473/$B$18)</f>
        <v/>
      </c>
      <c r="F473" s="29">
        <f>IF(OR(C473="",$B$18=""),"",C473*60/$B$18)</f>
        <v/>
      </c>
    </row>
    <row r="474">
      <c r="A474" s="26" t="n"/>
      <c r="B474" s="44" t="n"/>
      <c r="C474" s="45">
        <f>IF(B474="","",$B$15*(B474-$B$14))</f>
        <v/>
      </c>
      <c r="D474" s="46">
        <f>IF(OR(A474="",C474="",D473="",C473=""),"",D473+(C473+C474)/2*(A474-A473)*60)</f>
        <v/>
      </c>
      <c r="E474" s="20">
        <f>IF(OR(D474="",$B$18=""),"",D474/$B$18)</f>
        <v/>
      </c>
      <c r="F474" s="29">
        <f>IF(OR(C474="",$B$18=""),"",C474*60/$B$18)</f>
        <v/>
      </c>
    </row>
    <row r="475">
      <c r="A475" s="26" t="n"/>
      <c r="B475" s="44" t="n"/>
      <c r="C475" s="45">
        <f>IF(B475="","",$B$15*(B475-$B$14))</f>
        <v/>
      </c>
      <c r="D475" s="46">
        <f>IF(OR(A475="",C475="",D474="",C474=""),"",D474+(C474+C475)/2*(A475-A474)*60)</f>
        <v/>
      </c>
      <c r="E475" s="20">
        <f>IF(OR(D475="",$B$18=""),"",D475/$B$18)</f>
        <v/>
      </c>
      <c r="F475" s="29">
        <f>IF(OR(C475="",$B$18=""),"",C475*60/$B$18)</f>
        <v/>
      </c>
    </row>
    <row r="476">
      <c r="A476" s="26" t="n"/>
      <c r="B476" s="44" t="n"/>
      <c r="C476" s="45">
        <f>IF(B476="","",$B$15*(B476-$B$14))</f>
        <v/>
      </c>
      <c r="D476" s="46">
        <f>IF(OR(A476="",C476="",D475="",C475=""),"",D475+(C475+C476)/2*(A476-A475)*60)</f>
        <v/>
      </c>
      <c r="E476" s="20">
        <f>IF(OR(D476="",$B$18=""),"",D476/$B$18)</f>
        <v/>
      </c>
      <c r="F476" s="29">
        <f>IF(OR(C476="",$B$18=""),"",C476*60/$B$18)</f>
        <v/>
      </c>
    </row>
    <row r="477">
      <c r="A477" s="26" t="n"/>
      <c r="B477" s="44" t="n"/>
      <c r="C477" s="45">
        <f>IF(B477="","",$B$15*(B477-$B$14))</f>
        <v/>
      </c>
      <c r="D477" s="46">
        <f>IF(OR(A477="",C477="",D476="",C476=""),"",D476+(C476+C477)/2*(A477-A476)*60)</f>
        <v/>
      </c>
      <c r="E477" s="20">
        <f>IF(OR(D477="",$B$18=""),"",D477/$B$18)</f>
        <v/>
      </c>
      <c r="F477" s="29">
        <f>IF(OR(C477="",$B$18=""),"",C477*60/$B$18)</f>
        <v/>
      </c>
    </row>
    <row r="478">
      <c r="A478" s="26" t="n"/>
      <c r="B478" s="44" t="n"/>
      <c r="C478" s="45">
        <f>IF(B478="","",$B$15*(B478-$B$14))</f>
        <v/>
      </c>
      <c r="D478" s="46">
        <f>IF(OR(A478="",C478="",D477="",C477=""),"",D477+(C477+C478)/2*(A478-A477)*60)</f>
        <v/>
      </c>
      <c r="E478" s="20">
        <f>IF(OR(D478="",$B$18=""),"",D478/$B$18)</f>
        <v/>
      </c>
      <c r="F478" s="29">
        <f>IF(OR(C478="",$B$18=""),"",C478*60/$B$18)</f>
        <v/>
      </c>
    </row>
    <row r="479">
      <c r="A479" s="26" t="n"/>
      <c r="B479" s="44" t="n"/>
      <c r="C479" s="45">
        <f>IF(B479="","",$B$15*(B479-$B$14))</f>
        <v/>
      </c>
      <c r="D479" s="46">
        <f>IF(OR(A479="",C479="",D478="",C478=""),"",D478+(C478+C479)/2*(A479-A478)*60)</f>
        <v/>
      </c>
      <c r="E479" s="20">
        <f>IF(OR(D479="",$B$18=""),"",D479/$B$18)</f>
        <v/>
      </c>
      <c r="F479" s="29">
        <f>IF(OR(C479="",$B$18=""),"",C479*60/$B$18)</f>
        <v/>
      </c>
    </row>
    <row r="480">
      <c r="A480" s="26" t="n"/>
      <c r="B480" s="44" t="n"/>
      <c r="C480" s="45">
        <f>IF(B480="","",$B$15*(B480-$B$14))</f>
        <v/>
      </c>
      <c r="D480" s="46">
        <f>IF(OR(A480="",C480="",D479="",C479=""),"",D479+(C479+C480)/2*(A480-A479)*60)</f>
        <v/>
      </c>
      <c r="E480" s="20">
        <f>IF(OR(D480="",$B$18=""),"",D480/$B$18)</f>
        <v/>
      </c>
      <c r="F480" s="29">
        <f>IF(OR(C480="",$B$18=""),"",C480*60/$B$18)</f>
        <v/>
      </c>
    </row>
    <row r="481">
      <c r="A481" s="26" t="n"/>
      <c r="B481" s="44" t="n"/>
      <c r="C481" s="45">
        <f>IF(B481="","",$B$15*(B481-$B$14))</f>
        <v/>
      </c>
      <c r="D481" s="46">
        <f>IF(OR(A481="",C481="",D480="",C480=""),"",D480+(C480+C481)/2*(A481-A480)*60)</f>
        <v/>
      </c>
      <c r="E481" s="20">
        <f>IF(OR(D481="",$B$18=""),"",D481/$B$18)</f>
        <v/>
      </c>
      <c r="F481" s="29">
        <f>IF(OR(C481="",$B$18=""),"",C481*60/$B$18)</f>
        <v/>
      </c>
    </row>
    <row r="482">
      <c r="A482" s="26" t="n"/>
      <c r="B482" s="44" t="n"/>
      <c r="C482" s="45">
        <f>IF(B482="","",$B$15*(B482-$B$14))</f>
        <v/>
      </c>
      <c r="D482" s="46">
        <f>IF(OR(A482="",C482="",D481="",C481=""),"",D481+(C481+C482)/2*(A482-A481)*60)</f>
        <v/>
      </c>
      <c r="E482" s="20">
        <f>IF(OR(D482="",$B$18=""),"",D482/$B$18)</f>
        <v/>
      </c>
      <c r="F482" s="29">
        <f>IF(OR(C482="",$B$18=""),"",C482*60/$B$18)</f>
        <v/>
      </c>
    </row>
    <row r="483">
      <c r="A483" s="26" t="n"/>
      <c r="B483" s="44" t="n"/>
      <c r="C483" s="45">
        <f>IF(B483="","",$B$15*(B483-$B$14))</f>
        <v/>
      </c>
      <c r="D483" s="46">
        <f>IF(OR(A483="",C483="",D482="",C482=""),"",D482+(C482+C483)/2*(A483-A482)*60)</f>
        <v/>
      </c>
      <c r="E483" s="20">
        <f>IF(OR(D483="",$B$18=""),"",D483/$B$18)</f>
        <v/>
      </c>
      <c r="F483" s="29">
        <f>IF(OR(C483="",$B$18=""),"",C483*60/$B$18)</f>
        <v/>
      </c>
    </row>
    <row r="484">
      <c r="A484" s="26" t="n"/>
      <c r="B484" s="44" t="n"/>
      <c r="C484" s="45">
        <f>IF(B484="","",$B$15*(B484-$B$14))</f>
        <v/>
      </c>
      <c r="D484" s="46">
        <f>IF(OR(A484="",C484="",D483="",C483=""),"",D483+(C483+C484)/2*(A484-A483)*60)</f>
        <v/>
      </c>
      <c r="E484" s="20">
        <f>IF(OR(D484="",$B$18=""),"",D484/$B$18)</f>
        <v/>
      </c>
      <c r="F484" s="29">
        <f>IF(OR(C484="",$B$18=""),"",C484*60/$B$18)</f>
        <v/>
      </c>
    </row>
    <row r="485">
      <c r="A485" s="26" t="n"/>
      <c r="B485" s="44" t="n"/>
      <c r="C485" s="45">
        <f>IF(B485="","",$B$15*(B485-$B$14))</f>
        <v/>
      </c>
      <c r="D485" s="46">
        <f>IF(OR(A485="",C485="",D484="",C484=""),"",D484+(C484+C485)/2*(A485-A484)*60)</f>
        <v/>
      </c>
      <c r="E485" s="20">
        <f>IF(OR(D485="",$B$18=""),"",D485/$B$18)</f>
        <v/>
      </c>
      <c r="F485" s="29">
        <f>IF(OR(C485="",$B$18=""),"",C485*60/$B$18)</f>
        <v/>
      </c>
    </row>
    <row r="486">
      <c r="A486" s="26" t="n"/>
      <c r="B486" s="44" t="n"/>
      <c r="C486" s="45">
        <f>IF(B486="","",$B$15*(B486-$B$14))</f>
        <v/>
      </c>
      <c r="D486" s="46">
        <f>IF(OR(A486="",C486="",D485="",C485=""),"",D485+(C485+C486)/2*(A486-A485)*60)</f>
        <v/>
      </c>
      <c r="E486" s="20">
        <f>IF(OR(D486="",$B$18=""),"",D486/$B$18)</f>
        <v/>
      </c>
      <c r="F486" s="29">
        <f>IF(OR(C486="",$B$18=""),"",C486*60/$B$18)</f>
        <v/>
      </c>
    </row>
    <row r="487">
      <c r="A487" s="26" t="n"/>
      <c r="B487" s="44" t="n"/>
      <c r="C487" s="45">
        <f>IF(B487="","",$B$15*(B487-$B$14))</f>
        <v/>
      </c>
      <c r="D487" s="46">
        <f>IF(OR(A487="",C487="",D486="",C486=""),"",D486+(C486+C487)/2*(A487-A486)*60)</f>
        <v/>
      </c>
      <c r="E487" s="20">
        <f>IF(OR(D487="",$B$18=""),"",D487/$B$18)</f>
        <v/>
      </c>
      <c r="F487" s="29">
        <f>IF(OR(C487="",$B$18=""),"",C487*60/$B$18)</f>
        <v/>
      </c>
    </row>
    <row r="488">
      <c r="A488" s="26" t="n"/>
      <c r="B488" s="44" t="n"/>
      <c r="C488" s="45">
        <f>IF(B488="","",$B$15*(B488-$B$14))</f>
        <v/>
      </c>
      <c r="D488" s="46">
        <f>IF(OR(A488="",C488="",D487="",C487=""),"",D487+(C487+C488)/2*(A488-A487)*60)</f>
        <v/>
      </c>
      <c r="E488" s="20">
        <f>IF(OR(D488="",$B$18=""),"",D488/$B$18)</f>
        <v/>
      </c>
      <c r="F488" s="29">
        <f>IF(OR(C488="",$B$18=""),"",C488*60/$B$18)</f>
        <v/>
      </c>
    </row>
    <row r="489">
      <c r="A489" s="26" t="n"/>
      <c r="B489" s="44" t="n"/>
      <c r="C489" s="45">
        <f>IF(B489="","",$B$15*(B489-$B$14))</f>
        <v/>
      </c>
      <c r="D489" s="46">
        <f>IF(OR(A489="",C489="",D488="",C488=""),"",D488+(C488+C489)/2*(A489-A488)*60)</f>
        <v/>
      </c>
      <c r="E489" s="20">
        <f>IF(OR(D489="",$B$18=""),"",D489/$B$18)</f>
        <v/>
      </c>
      <c r="F489" s="29">
        <f>IF(OR(C489="",$B$18=""),"",C489*60/$B$18)</f>
        <v/>
      </c>
    </row>
    <row r="490">
      <c r="A490" s="26" t="n"/>
      <c r="B490" s="44" t="n"/>
      <c r="C490" s="45">
        <f>IF(B490="","",$B$15*(B490-$B$14))</f>
        <v/>
      </c>
      <c r="D490" s="46">
        <f>IF(OR(A490="",C490="",D489="",C489=""),"",D489+(C489+C490)/2*(A490-A489)*60)</f>
        <v/>
      </c>
      <c r="E490" s="20">
        <f>IF(OR(D490="",$B$18=""),"",D490/$B$18)</f>
        <v/>
      </c>
      <c r="F490" s="29">
        <f>IF(OR(C490="",$B$18=""),"",C490*60/$B$18)</f>
        <v/>
      </c>
    </row>
    <row r="491">
      <c r="A491" s="26" t="n"/>
      <c r="B491" s="44" t="n"/>
      <c r="C491" s="45">
        <f>IF(B491="","",$B$15*(B491-$B$14))</f>
        <v/>
      </c>
      <c r="D491" s="46">
        <f>IF(OR(A491="",C491="",D490="",C490=""),"",D490+(C490+C491)/2*(A491-A490)*60)</f>
        <v/>
      </c>
      <c r="E491" s="20">
        <f>IF(OR(D491="",$B$18=""),"",D491/$B$18)</f>
        <v/>
      </c>
      <c r="F491" s="29">
        <f>IF(OR(C491="",$B$18=""),"",C491*60/$B$18)</f>
        <v/>
      </c>
    </row>
    <row r="492">
      <c r="A492" s="26" t="n"/>
      <c r="B492" s="44" t="n"/>
      <c r="C492" s="45">
        <f>IF(B492="","",$B$15*(B492-$B$14))</f>
        <v/>
      </c>
      <c r="D492" s="46">
        <f>IF(OR(A492="",C492="",D491="",C491=""),"",D491+(C491+C492)/2*(A492-A491)*60)</f>
        <v/>
      </c>
      <c r="E492" s="20">
        <f>IF(OR(D492="",$B$18=""),"",D492/$B$18)</f>
        <v/>
      </c>
      <c r="F492" s="29">
        <f>IF(OR(C492="",$B$18=""),"",C492*60/$B$18)</f>
        <v/>
      </c>
    </row>
    <row r="493">
      <c r="A493" s="26" t="n"/>
      <c r="B493" s="44" t="n"/>
      <c r="C493" s="45">
        <f>IF(B493="","",$B$15*(B493-$B$14))</f>
        <v/>
      </c>
      <c r="D493" s="46">
        <f>IF(OR(A493="",C493="",D492="",C492=""),"",D492+(C492+C493)/2*(A493-A492)*60)</f>
        <v/>
      </c>
      <c r="E493" s="20">
        <f>IF(OR(D493="",$B$18=""),"",D493/$B$18)</f>
        <v/>
      </c>
      <c r="F493" s="29">
        <f>IF(OR(C493="",$B$18=""),"",C493*60/$B$18)</f>
        <v/>
      </c>
    </row>
    <row r="494">
      <c r="A494" s="26" t="n"/>
      <c r="B494" s="44" t="n"/>
      <c r="C494" s="45">
        <f>IF(B494="","",$B$15*(B494-$B$14))</f>
        <v/>
      </c>
      <c r="D494" s="46">
        <f>IF(OR(A494="",C494="",D493="",C493=""),"",D493+(C493+C494)/2*(A494-A493)*60)</f>
        <v/>
      </c>
      <c r="E494" s="20">
        <f>IF(OR(D494="",$B$18=""),"",D494/$B$18)</f>
        <v/>
      </c>
      <c r="F494" s="29">
        <f>IF(OR(C494="",$B$18=""),"",C494*60/$B$18)</f>
        <v/>
      </c>
    </row>
    <row r="495">
      <c r="A495" s="26" t="n"/>
      <c r="B495" s="44" t="n"/>
      <c r="C495" s="45">
        <f>IF(B495="","",$B$15*(B495-$B$14))</f>
        <v/>
      </c>
      <c r="D495" s="46">
        <f>IF(OR(A495="",C495="",D494="",C494=""),"",D494+(C494+C495)/2*(A495-A494)*60)</f>
        <v/>
      </c>
      <c r="E495" s="20">
        <f>IF(OR(D495="",$B$18=""),"",D495/$B$18)</f>
        <v/>
      </c>
      <c r="F495" s="29">
        <f>IF(OR(C495="",$B$18=""),"",C495*60/$B$18)</f>
        <v/>
      </c>
    </row>
    <row r="496">
      <c r="A496" s="26" t="n"/>
      <c r="B496" s="44" t="n"/>
      <c r="C496" s="45">
        <f>IF(B496="","",$B$15*(B496-$B$14))</f>
        <v/>
      </c>
      <c r="D496" s="46">
        <f>IF(OR(A496="",C496="",D495="",C495=""),"",D495+(C495+C496)/2*(A496-A495)*60)</f>
        <v/>
      </c>
      <c r="E496" s="20">
        <f>IF(OR(D496="",$B$18=""),"",D496/$B$18)</f>
        <v/>
      </c>
      <c r="F496" s="29">
        <f>IF(OR(C496="",$B$18=""),"",C496*60/$B$18)</f>
        <v/>
      </c>
    </row>
    <row r="497">
      <c r="A497" s="26" t="n"/>
      <c r="B497" s="44" t="n"/>
      <c r="C497" s="45">
        <f>IF(B497="","",$B$15*(B497-$B$14))</f>
        <v/>
      </c>
      <c r="D497" s="46">
        <f>IF(OR(A497="",C497="",D496="",C496=""),"",D496+(C496+C497)/2*(A497-A496)*60)</f>
        <v/>
      </c>
      <c r="E497" s="20">
        <f>IF(OR(D497="",$B$18=""),"",D497/$B$18)</f>
        <v/>
      </c>
      <c r="F497" s="29">
        <f>IF(OR(C497="",$B$18=""),"",C497*60/$B$18)</f>
        <v/>
      </c>
    </row>
    <row r="498">
      <c r="A498" s="26" t="n"/>
      <c r="B498" s="44" t="n"/>
      <c r="C498" s="45">
        <f>IF(B498="","",$B$15*(B498-$B$14))</f>
        <v/>
      </c>
      <c r="D498" s="46">
        <f>IF(OR(A498="",C498="",D497="",C497=""),"",D497+(C497+C498)/2*(A498-A497)*60)</f>
        <v/>
      </c>
      <c r="E498" s="20">
        <f>IF(OR(D498="",$B$18=""),"",D498/$B$18)</f>
        <v/>
      </c>
      <c r="F498" s="29">
        <f>IF(OR(C498="",$B$18=""),"",C498*60/$B$18)</f>
        <v/>
      </c>
    </row>
    <row r="499">
      <c r="A499" s="26" t="n"/>
      <c r="B499" s="44" t="n"/>
      <c r="C499" s="45">
        <f>IF(B499="","",$B$15*(B499-$B$14))</f>
        <v/>
      </c>
      <c r="D499" s="46">
        <f>IF(OR(A499="",C499="",D498="",C498=""),"",D498+(C498+C499)/2*(A499-A498)*60)</f>
        <v/>
      </c>
      <c r="E499" s="20">
        <f>IF(OR(D499="",$B$18=""),"",D499/$B$18)</f>
        <v/>
      </c>
      <c r="F499" s="29">
        <f>IF(OR(C499="",$B$18=""),"",C499*60/$B$18)</f>
        <v/>
      </c>
    </row>
    <row r="500">
      <c r="A500" s="26" t="n"/>
      <c r="B500" s="44" t="n"/>
      <c r="C500" s="45">
        <f>IF(B500="","",$B$15*(B500-$B$14))</f>
        <v/>
      </c>
      <c r="D500" s="46">
        <f>IF(OR(A500="",C500="",D499="",C499=""),"",D499+(C499+C500)/2*(A500-A499)*60)</f>
        <v/>
      </c>
      <c r="E500" s="20">
        <f>IF(OR(D500="",$B$18=""),"",D500/$B$18)</f>
        <v/>
      </c>
      <c r="F500" s="29">
        <f>IF(OR(C500="",$B$18=""),"",C500*60/$B$18)</f>
        <v/>
      </c>
    </row>
    <row r="501">
      <c r="A501" s="26" t="n"/>
      <c r="B501" s="44" t="n"/>
      <c r="C501" s="45">
        <f>IF(B501="","",$B$15*(B501-$B$14))</f>
        <v/>
      </c>
      <c r="D501" s="46">
        <f>IF(OR(A501="",C501="",D500="",C500=""),"",D500+(C500+C501)/2*(A501-A500)*60)</f>
        <v/>
      </c>
      <c r="E501" s="20">
        <f>IF(OR(D501="",$B$18=""),"",D501/$B$18)</f>
        <v/>
      </c>
      <c r="F501" s="29">
        <f>IF(OR(C501="",$B$18=""),"",C501*60/$B$18)</f>
        <v/>
      </c>
    </row>
    <row r="502">
      <c r="A502" s="26" t="n"/>
      <c r="B502" s="44" t="n"/>
      <c r="C502" s="45">
        <f>IF(B502="","",$B$15*(B502-$B$14))</f>
        <v/>
      </c>
      <c r="D502" s="46">
        <f>IF(OR(A502="",C502="",D501="",C501=""),"",D501+(C501+C502)/2*(A502-A501)*60)</f>
        <v/>
      </c>
      <c r="E502" s="20">
        <f>IF(OR(D502="",$B$18=""),"",D502/$B$18)</f>
        <v/>
      </c>
      <c r="F502" s="29">
        <f>IF(OR(C502="",$B$18=""),"",C502*60/$B$18)</f>
        <v/>
      </c>
    </row>
    <row r="503">
      <c r="A503" s="26" t="n"/>
      <c r="B503" s="44" t="n"/>
      <c r="C503" s="45">
        <f>IF(B503="","",$B$15*(B503-$B$14))</f>
        <v/>
      </c>
      <c r="D503" s="46">
        <f>IF(OR(A503="",C503="",D502="",C502=""),"",D502+(C502+C503)/2*(A503-A502)*60)</f>
        <v/>
      </c>
      <c r="E503" s="20">
        <f>IF(OR(D503="",$B$18=""),"",D503/$B$18)</f>
        <v/>
      </c>
      <c r="F503" s="29">
        <f>IF(OR(C503="",$B$18=""),"",C503*60/$B$18)</f>
        <v/>
      </c>
    </row>
    <row r="504">
      <c r="A504" s="26" t="n"/>
      <c r="B504" s="44" t="n"/>
      <c r="C504" s="45">
        <f>IF(B504="","",$B$15*(B504-$B$14))</f>
        <v/>
      </c>
      <c r="D504" s="46">
        <f>IF(OR(A504="",C504="",D503="",C503=""),"",D503+(C503+C504)/2*(A504-A503)*60)</f>
        <v/>
      </c>
      <c r="E504" s="20">
        <f>IF(OR(D504="",$B$18=""),"",D504/$B$18)</f>
        <v/>
      </c>
      <c r="F504" s="29">
        <f>IF(OR(C504="",$B$18=""),"",C504*60/$B$18)</f>
        <v/>
      </c>
    </row>
    <row r="505">
      <c r="A505" s="26" t="n"/>
      <c r="B505" s="44" t="n"/>
      <c r="C505" s="45">
        <f>IF(B505="","",$B$15*(B505-$B$14))</f>
        <v/>
      </c>
      <c r="D505" s="46">
        <f>IF(OR(A505="",C505="",D504="",C504=""),"",D504+(C504+C505)/2*(A505-A504)*60)</f>
        <v/>
      </c>
      <c r="E505" s="20">
        <f>IF(OR(D505="",$B$18=""),"",D505/$B$18)</f>
        <v/>
      </c>
      <c r="F505" s="29">
        <f>IF(OR(C505="",$B$18=""),"",C505*60/$B$18)</f>
        <v/>
      </c>
    </row>
    <row r="506">
      <c r="A506" s="26" t="n"/>
      <c r="B506" s="44" t="n"/>
      <c r="C506" s="45">
        <f>IF(B506="","",$B$15*(B506-$B$14))</f>
        <v/>
      </c>
      <c r="D506" s="46">
        <f>IF(OR(A506="",C506="",D505="",C505=""),"",D505+(C505+C506)/2*(A506-A505)*60)</f>
        <v/>
      </c>
      <c r="E506" s="20">
        <f>IF(OR(D506="",$B$18=""),"",D506/$B$18)</f>
        <v/>
      </c>
      <c r="F506" s="29">
        <f>IF(OR(C506="",$B$18=""),"",C506*60/$B$18)</f>
        <v/>
      </c>
    </row>
    <row r="507">
      <c r="A507" s="26" t="n"/>
      <c r="B507" s="44" t="n"/>
      <c r="C507" s="45">
        <f>IF(B507="","",$B$15*(B507-$B$14))</f>
        <v/>
      </c>
      <c r="D507" s="46">
        <f>IF(OR(A507="",C507="",D506="",C506=""),"",D506+(C506+C507)/2*(A507-A506)*60)</f>
        <v/>
      </c>
      <c r="E507" s="20">
        <f>IF(OR(D507="",$B$18=""),"",D507/$B$18)</f>
        <v/>
      </c>
      <c r="F507" s="29">
        <f>IF(OR(C507="",$B$18=""),"",C507*60/$B$18)</f>
        <v/>
      </c>
    </row>
    <row r="508">
      <c r="A508" s="26" t="n"/>
      <c r="B508" s="44" t="n"/>
      <c r="C508" s="45">
        <f>IF(B508="","",$B$15*(B508-$B$14))</f>
        <v/>
      </c>
      <c r="D508" s="46">
        <f>IF(OR(A508="",C508="",D507="",C507=""),"",D507+(C507+C508)/2*(A508-A507)*60)</f>
        <v/>
      </c>
      <c r="E508" s="20">
        <f>IF(OR(D508="",$B$18=""),"",D508/$B$18)</f>
        <v/>
      </c>
      <c r="F508" s="29">
        <f>IF(OR(C508="",$B$18=""),"",C508*60/$B$18)</f>
        <v/>
      </c>
    </row>
    <row r="509">
      <c r="A509" s="26" t="n"/>
      <c r="B509" s="44" t="n"/>
      <c r="C509" s="45">
        <f>IF(B509="","",$B$15*(B509-$B$14))</f>
        <v/>
      </c>
      <c r="D509" s="46">
        <f>IF(OR(A509="",C509="",D508="",C508=""),"",D508+(C508+C509)/2*(A509-A508)*60)</f>
        <v/>
      </c>
      <c r="E509" s="20">
        <f>IF(OR(D509="",$B$18=""),"",D509/$B$18)</f>
        <v/>
      </c>
      <c r="F509" s="29">
        <f>IF(OR(C509="",$B$18=""),"",C509*60/$B$18)</f>
        <v/>
      </c>
    </row>
    <row r="510">
      <c r="A510" s="26" t="n"/>
      <c r="B510" s="44" t="n"/>
      <c r="C510" s="45">
        <f>IF(B510="","",$B$15*(B510-$B$14))</f>
        <v/>
      </c>
      <c r="D510" s="46">
        <f>IF(OR(A510="",C510="",D509="",C509=""),"",D509+(C509+C510)/2*(A510-A509)*60)</f>
        <v/>
      </c>
      <c r="E510" s="20">
        <f>IF(OR(D510="",$B$18=""),"",D510/$B$18)</f>
        <v/>
      </c>
      <c r="F510" s="29">
        <f>IF(OR(C510="",$B$18=""),"",C510*60/$B$18)</f>
        <v/>
      </c>
    </row>
    <row r="511">
      <c r="A511" s="26" t="n"/>
      <c r="B511" s="44" t="n"/>
      <c r="C511" s="45">
        <f>IF(B511="","",$B$15*(B511-$B$14))</f>
        <v/>
      </c>
      <c r="D511" s="46">
        <f>IF(OR(A511="",C511="",D510="",C510=""),"",D510+(C510+C511)/2*(A511-A510)*60)</f>
        <v/>
      </c>
      <c r="E511" s="20">
        <f>IF(OR(D511="",$B$18=""),"",D511/$B$18)</f>
        <v/>
      </c>
      <c r="F511" s="29">
        <f>IF(OR(C511="",$B$18=""),"",C511*60/$B$18)</f>
        <v/>
      </c>
    </row>
    <row r="512">
      <c r="A512" s="26" t="n"/>
      <c r="B512" s="44" t="n"/>
      <c r="C512" s="45">
        <f>IF(B512="","",$B$15*(B512-$B$14))</f>
        <v/>
      </c>
      <c r="D512" s="46">
        <f>IF(OR(A512="",C512="",D511="",C511=""),"",D511+(C511+C512)/2*(A512-A511)*60)</f>
        <v/>
      </c>
      <c r="E512" s="20">
        <f>IF(OR(D512="",$B$18=""),"",D512/$B$18)</f>
        <v/>
      </c>
      <c r="F512" s="29">
        <f>IF(OR(C512="",$B$18=""),"",C512*60/$B$18)</f>
        <v/>
      </c>
    </row>
    <row r="513">
      <c r="A513" s="26" t="n"/>
      <c r="B513" s="44" t="n"/>
      <c r="C513" s="45">
        <f>IF(B513="","",$B$15*(B513-$B$14))</f>
        <v/>
      </c>
      <c r="D513" s="46">
        <f>IF(OR(A513="",C513="",D512="",C512=""),"",D512+(C512+C513)/2*(A513-A512)*60)</f>
        <v/>
      </c>
      <c r="E513" s="20">
        <f>IF(OR(D513="",$B$18=""),"",D513/$B$18)</f>
        <v/>
      </c>
      <c r="F513" s="29">
        <f>IF(OR(C513="",$B$18=""),"",C513*60/$B$18)</f>
        <v/>
      </c>
    </row>
    <row r="514">
      <c r="A514" s="26" t="n"/>
      <c r="B514" s="44" t="n"/>
      <c r="C514" s="45">
        <f>IF(B514="","",$B$15*(B514-$B$14))</f>
        <v/>
      </c>
      <c r="D514" s="46">
        <f>IF(OR(A514="",C514="",D513="",C513=""),"",D513+(C513+C514)/2*(A514-A513)*60)</f>
        <v/>
      </c>
      <c r="E514" s="20">
        <f>IF(OR(D514="",$B$18=""),"",D514/$B$18)</f>
        <v/>
      </c>
      <c r="F514" s="29">
        <f>IF(OR(C514="",$B$18=""),"",C514*60/$B$18)</f>
        <v/>
      </c>
    </row>
    <row r="515">
      <c r="A515" s="26" t="n"/>
      <c r="B515" s="44" t="n"/>
      <c r="C515" s="45">
        <f>IF(B515="","",$B$15*(B515-$B$14))</f>
        <v/>
      </c>
      <c r="D515" s="46">
        <f>IF(OR(A515="",C515="",D514="",C514=""),"",D514+(C514+C515)/2*(A515-A514)*60)</f>
        <v/>
      </c>
      <c r="E515" s="20">
        <f>IF(OR(D515="",$B$18=""),"",D515/$B$18)</f>
        <v/>
      </c>
      <c r="F515" s="29">
        <f>IF(OR(C515="",$B$18=""),"",C515*60/$B$18)</f>
        <v/>
      </c>
    </row>
    <row r="516">
      <c r="A516" s="26" t="n"/>
      <c r="B516" s="44" t="n"/>
      <c r="C516" s="45">
        <f>IF(B516="","",$B$15*(B516-$B$14))</f>
        <v/>
      </c>
      <c r="D516" s="46">
        <f>IF(OR(A516="",C516="",D515="",C515=""),"",D515+(C515+C516)/2*(A516-A515)*60)</f>
        <v/>
      </c>
      <c r="E516" s="20">
        <f>IF(OR(D516="",$B$18=""),"",D516/$B$18)</f>
        <v/>
      </c>
      <c r="F516" s="29">
        <f>IF(OR(C516="",$B$18=""),"",C516*60/$B$18)</f>
        <v/>
      </c>
    </row>
    <row r="517">
      <c r="A517" s="26" t="n"/>
      <c r="B517" s="44" t="n"/>
      <c r="C517" s="45">
        <f>IF(B517="","",$B$15*(B517-$B$14))</f>
        <v/>
      </c>
      <c r="D517" s="46">
        <f>IF(OR(A517="",C517="",D516="",C516=""),"",D516+(C516+C517)/2*(A517-A516)*60)</f>
        <v/>
      </c>
      <c r="E517" s="20">
        <f>IF(OR(D517="",$B$18=""),"",D517/$B$18)</f>
        <v/>
      </c>
      <c r="F517" s="29">
        <f>IF(OR(C517="",$B$18=""),"",C517*60/$B$18)</f>
        <v/>
      </c>
    </row>
    <row r="518">
      <c r="A518" s="26" t="n"/>
      <c r="B518" s="44" t="n"/>
      <c r="C518" s="45">
        <f>IF(B518="","",$B$15*(B518-$B$14))</f>
        <v/>
      </c>
      <c r="D518" s="46">
        <f>IF(OR(A518="",C518="",D517="",C517=""),"",D517+(C517+C518)/2*(A518-A517)*60)</f>
        <v/>
      </c>
      <c r="E518" s="20">
        <f>IF(OR(D518="",$B$18=""),"",D518/$B$18)</f>
        <v/>
      </c>
      <c r="F518" s="29">
        <f>IF(OR(C518="",$B$18=""),"",C518*60/$B$18)</f>
        <v/>
      </c>
    </row>
    <row r="519">
      <c r="A519" s="26" t="n"/>
      <c r="B519" s="44" t="n"/>
      <c r="C519" s="45">
        <f>IF(B519="","",$B$15*(B519-$B$14))</f>
        <v/>
      </c>
      <c r="D519" s="46">
        <f>IF(OR(A519="",C519="",D518="",C518=""),"",D518+(C518+C519)/2*(A519-A518)*60)</f>
        <v/>
      </c>
      <c r="E519" s="20">
        <f>IF(OR(D519="",$B$18=""),"",D519/$B$18)</f>
        <v/>
      </c>
      <c r="F519" s="29">
        <f>IF(OR(C519="",$B$18=""),"",C519*60/$B$18)</f>
        <v/>
      </c>
    </row>
    <row r="520">
      <c r="A520" s="26" t="n"/>
      <c r="B520" s="44" t="n"/>
      <c r="C520" s="45">
        <f>IF(B520="","",$B$15*(B520-$B$14))</f>
        <v/>
      </c>
      <c r="D520" s="46">
        <f>IF(OR(A520="",C520="",D519="",C519=""),"",D519+(C519+C520)/2*(A520-A519)*60)</f>
        <v/>
      </c>
      <c r="E520" s="20">
        <f>IF(OR(D520="",$B$18=""),"",D520/$B$18)</f>
        <v/>
      </c>
      <c r="F520" s="29">
        <f>IF(OR(C520="",$B$18=""),"",C520*60/$B$18)</f>
        <v/>
      </c>
    </row>
    <row r="521">
      <c r="A521" s="26" t="n"/>
      <c r="B521" s="44" t="n"/>
      <c r="C521" s="45">
        <f>IF(B521="","",$B$15*(B521-$B$14))</f>
        <v/>
      </c>
      <c r="D521" s="46">
        <f>IF(OR(A521="",C521="",D520="",C520=""),"",D520+(C520+C521)/2*(A521-A520)*60)</f>
        <v/>
      </c>
      <c r="E521" s="20">
        <f>IF(OR(D521="",$B$18=""),"",D521/$B$18)</f>
        <v/>
      </c>
      <c r="F521" s="29">
        <f>IF(OR(C521="",$B$18=""),"",C521*60/$B$18)</f>
        <v/>
      </c>
    </row>
    <row r="522">
      <c r="A522" s="26" t="n"/>
      <c r="B522" s="44" t="n"/>
      <c r="C522" s="45">
        <f>IF(B522="","",$B$15*(B522-$B$14))</f>
        <v/>
      </c>
      <c r="D522" s="46">
        <f>IF(OR(A522="",C522="",D521="",C521=""),"",D521+(C521+C522)/2*(A522-A521)*60)</f>
        <v/>
      </c>
      <c r="E522" s="20">
        <f>IF(OR(D522="",$B$18=""),"",D522/$B$18)</f>
        <v/>
      </c>
      <c r="F522" s="29">
        <f>IF(OR(C522="",$B$18=""),"",C522*60/$B$18)</f>
        <v/>
      </c>
    </row>
    <row r="523">
      <c r="A523" s="26" t="n"/>
      <c r="B523" s="44" t="n"/>
      <c r="C523" s="45">
        <f>IF(B523="","",$B$15*(B523-$B$14))</f>
        <v/>
      </c>
      <c r="D523" s="46">
        <f>IF(OR(A523="",C523="",D522="",C522=""),"",D522+(C522+C523)/2*(A523-A522)*60)</f>
        <v/>
      </c>
      <c r="E523" s="20">
        <f>IF(OR(D523="",$B$18=""),"",D523/$B$18)</f>
        <v/>
      </c>
      <c r="F523" s="29">
        <f>IF(OR(C523="",$B$18=""),"",C523*60/$B$18)</f>
        <v/>
      </c>
    </row>
    <row r="524">
      <c r="A524" s="26" t="n"/>
      <c r="B524" s="44" t="n"/>
      <c r="C524" s="45">
        <f>IF(B524="","",$B$15*(B524-$B$14))</f>
        <v/>
      </c>
      <c r="D524" s="46">
        <f>IF(OR(A524="",C524="",D523="",C523=""),"",D523+(C523+C524)/2*(A524-A523)*60)</f>
        <v/>
      </c>
      <c r="E524" s="20">
        <f>IF(OR(D524="",$B$18=""),"",D524/$B$18)</f>
        <v/>
      </c>
      <c r="F524" s="29">
        <f>IF(OR(C524="",$B$18=""),"",C524*60/$B$18)</f>
        <v/>
      </c>
    </row>
    <row r="525">
      <c r="A525" s="26" t="n"/>
      <c r="B525" s="44" t="n"/>
      <c r="C525" s="45">
        <f>IF(B525="","",$B$15*(B525-$B$14))</f>
        <v/>
      </c>
      <c r="D525" s="46">
        <f>IF(OR(A525="",C525="",D524="",C524=""),"",D524+(C524+C525)/2*(A525-A524)*60)</f>
        <v/>
      </c>
      <c r="E525" s="20">
        <f>IF(OR(D525="",$B$18=""),"",D525/$B$18)</f>
        <v/>
      </c>
      <c r="F525" s="29">
        <f>IF(OR(C525="",$B$18=""),"",C525*60/$B$18)</f>
        <v/>
      </c>
    </row>
    <row r="526">
      <c r="A526" s="26" t="n"/>
      <c r="B526" s="44" t="n"/>
      <c r="C526" s="45">
        <f>IF(B526="","",$B$15*(B526-$B$14))</f>
        <v/>
      </c>
      <c r="D526" s="46">
        <f>IF(OR(A526="",C526="",D525="",C525=""),"",D525+(C525+C526)/2*(A526-A525)*60)</f>
        <v/>
      </c>
      <c r="E526" s="20">
        <f>IF(OR(D526="",$B$18=""),"",D526/$B$18)</f>
        <v/>
      </c>
      <c r="F526" s="29">
        <f>IF(OR(C526="",$B$18=""),"",C526*60/$B$18)</f>
        <v/>
      </c>
    </row>
    <row r="527">
      <c r="A527" s="26" t="n"/>
      <c r="B527" s="44" t="n"/>
      <c r="C527" s="45">
        <f>IF(B527="","",$B$15*(B527-$B$14))</f>
        <v/>
      </c>
      <c r="D527" s="46">
        <f>IF(OR(A527="",C527="",D526="",C526=""),"",D526+(C526+C527)/2*(A527-A526)*60)</f>
        <v/>
      </c>
      <c r="E527" s="20">
        <f>IF(OR(D527="",$B$18=""),"",D527/$B$18)</f>
        <v/>
      </c>
      <c r="F527" s="29">
        <f>IF(OR(C527="",$B$18=""),"",C527*60/$B$18)</f>
        <v/>
      </c>
    </row>
    <row r="528">
      <c r="A528" s="26" t="n"/>
      <c r="B528" s="44" t="n"/>
      <c r="C528" s="45">
        <f>IF(B528="","",$B$15*(B528-$B$14))</f>
        <v/>
      </c>
      <c r="D528" s="46">
        <f>IF(OR(A528="",C528="",D527="",C527=""),"",D527+(C527+C528)/2*(A528-A527)*60)</f>
        <v/>
      </c>
      <c r="E528" s="20">
        <f>IF(OR(D528="",$B$18=""),"",D528/$B$18)</f>
        <v/>
      </c>
      <c r="F528" s="29">
        <f>IF(OR(C528="",$B$18=""),"",C528*60/$B$18)</f>
        <v/>
      </c>
    </row>
    <row r="529">
      <c r="A529" s="26" t="n"/>
      <c r="B529" s="44" t="n"/>
      <c r="C529" s="45">
        <f>IF(B529="","",$B$15*(B529-$B$14))</f>
        <v/>
      </c>
      <c r="D529" s="46">
        <f>IF(OR(A529="",C529="",D528="",C528=""),"",D528+(C528+C529)/2*(A529-A528)*60)</f>
        <v/>
      </c>
      <c r="E529" s="20">
        <f>IF(OR(D529="",$B$18=""),"",D529/$B$18)</f>
        <v/>
      </c>
      <c r="F529" s="29">
        <f>IF(OR(C529="",$B$18=""),"",C529*60/$B$18)</f>
        <v/>
      </c>
    </row>
    <row r="530">
      <c r="A530" s="26" t="n"/>
      <c r="B530" s="44" t="n"/>
      <c r="C530" s="45">
        <f>IF(B530="","",$B$15*(B530-$B$14))</f>
        <v/>
      </c>
      <c r="D530" s="46">
        <f>IF(OR(A530="",C530="",D529="",C529=""),"",D529+(C529+C530)/2*(A530-A529)*60)</f>
        <v/>
      </c>
      <c r="E530" s="20">
        <f>IF(OR(D530="",$B$18=""),"",D530/$B$18)</f>
        <v/>
      </c>
      <c r="F530" s="29">
        <f>IF(OR(C530="",$B$18=""),"",C530*60/$B$18)</f>
        <v/>
      </c>
    </row>
    <row r="531">
      <c r="A531" s="26" t="n"/>
      <c r="B531" s="44" t="n"/>
      <c r="C531" s="45">
        <f>IF(B531="","",$B$15*(B531-$B$14))</f>
        <v/>
      </c>
      <c r="D531" s="46">
        <f>IF(OR(A531="",C531="",D530="",C530=""),"",D530+(C530+C531)/2*(A531-A530)*60)</f>
        <v/>
      </c>
      <c r="E531" s="20">
        <f>IF(OR(D531="",$B$18=""),"",D531/$B$18)</f>
        <v/>
      </c>
      <c r="F531" s="29">
        <f>IF(OR(C531="",$B$18=""),"",C531*60/$B$18)</f>
        <v/>
      </c>
    </row>
    <row r="532">
      <c r="A532" s="26" t="n"/>
      <c r="B532" s="44" t="n"/>
      <c r="C532" s="45">
        <f>IF(B532="","",$B$15*(B532-$B$14))</f>
        <v/>
      </c>
      <c r="D532" s="46">
        <f>IF(OR(A532="",C532="",D531="",C531=""),"",D531+(C531+C532)/2*(A532-A531)*60)</f>
        <v/>
      </c>
      <c r="E532" s="20">
        <f>IF(OR(D532="",$B$18=""),"",D532/$B$18)</f>
        <v/>
      </c>
      <c r="F532" s="29">
        <f>IF(OR(C532="",$B$18=""),"",C532*60/$B$18)</f>
        <v/>
      </c>
    </row>
    <row r="533">
      <c r="A533" s="26" t="n"/>
      <c r="B533" s="44" t="n"/>
      <c r="C533" s="45">
        <f>IF(B533="","",$B$15*(B533-$B$14))</f>
        <v/>
      </c>
      <c r="D533" s="46">
        <f>IF(OR(A533="",C533="",D532="",C532=""),"",D532+(C532+C533)/2*(A533-A532)*60)</f>
        <v/>
      </c>
      <c r="E533" s="20">
        <f>IF(OR(D533="",$B$18=""),"",D533/$B$18)</f>
        <v/>
      </c>
      <c r="F533" s="29">
        <f>IF(OR(C533="",$B$18=""),"",C533*60/$B$18)</f>
        <v/>
      </c>
    </row>
    <row r="534">
      <c r="A534" s="26" t="n"/>
      <c r="B534" s="44" t="n"/>
      <c r="C534" s="45">
        <f>IF(B534="","",$B$15*(B534-$B$14))</f>
        <v/>
      </c>
      <c r="D534" s="46">
        <f>IF(OR(A534="",C534="",D533="",C533=""),"",D533+(C533+C534)/2*(A534-A533)*60)</f>
        <v/>
      </c>
      <c r="E534" s="20">
        <f>IF(OR(D534="",$B$18=""),"",D534/$B$18)</f>
        <v/>
      </c>
      <c r="F534" s="29">
        <f>IF(OR(C534="",$B$18=""),"",C534*60/$B$18)</f>
        <v/>
      </c>
    </row>
    <row r="535">
      <c r="A535" s="26" t="n"/>
      <c r="B535" s="44" t="n"/>
      <c r="C535" s="45">
        <f>IF(B535="","",$B$15*(B535-$B$14))</f>
        <v/>
      </c>
      <c r="D535" s="46">
        <f>IF(OR(A535="",C535="",D534="",C534=""),"",D534+(C534+C535)/2*(A535-A534)*60)</f>
        <v/>
      </c>
      <c r="E535" s="20">
        <f>IF(OR(D535="",$B$18=""),"",D535/$B$18)</f>
        <v/>
      </c>
      <c r="F535" s="29">
        <f>IF(OR(C535="",$B$18=""),"",C535*60/$B$18)</f>
        <v/>
      </c>
    </row>
    <row r="536">
      <c r="A536" s="26" t="n"/>
      <c r="B536" s="44" t="n"/>
      <c r="C536" s="45">
        <f>IF(B536="","",$B$15*(B536-$B$14))</f>
        <v/>
      </c>
      <c r="D536" s="46">
        <f>IF(OR(A536="",C536="",D535="",C535=""),"",D535+(C535+C536)/2*(A536-A535)*60)</f>
        <v/>
      </c>
      <c r="E536" s="20">
        <f>IF(OR(D536="",$B$18=""),"",D536/$B$18)</f>
        <v/>
      </c>
      <c r="F536" s="29">
        <f>IF(OR(C536="",$B$18=""),"",C536*60/$B$18)</f>
        <v/>
      </c>
    </row>
    <row r="537">
      <c r="A537" s="26" t="n"/>
      <c r="B537" s="44" t="n"/>
      <c r="C537" s="45">
        <f>IF(B537="","",$B$15*(B537-$B$14))</f>
        <v/>
      </c>
      <c r="D537" s="46">
        <f>IF(OR(A537="",C537="",D536="",C536=""),"",D536+(C536+C537)/2*(A537-A536)*60)</f>
        <v/>
      </c>
      <c r="E537" s="20">
        <f>IF(OR(D537="",$B$18=""),"",D537/$B$18)</f>
        <v/>
      </c>
      <c r="F537" s="29">
        <f>IF(OR(C537="",$B$18=""),"",C537*60/$B$18)</f>
        <v/>
      </c>
    </row>
    <row r="538">
      <c r="A538" s="26" t="n"/>
      <c r="B538" s="44" t="n"/>
      <c r="C538" s="45">
        <f>IF(B538="","",$B$15*(B538-$B$14))</f>
        <v/>
      </c>
      <c r="D538" s="46">
        <f>IF(OR(A538="",C538="",D537="",C537=""),"",D537+(C537+C538)/2*(A538-A537)*60)</f>
        <v/>
      </c>
      <c r="E538" s="20">
        <f>IF(OR(D538="",$B$18=""),"",D538/$B$18)</f>
        <v/>
      </c>
      <c r="F538" s="29">
        <f>IF(OR(C538="",$B$18=""),"",C538*60/$B$18)</f>
        <v/>
      </c>
    </row>
    <row r="539">
      <c r="A539" s="26" t="n"/>
      <c r="B539" s="44" t="n"/>
      <c r="C539" s="45">
        <f>IF(B539="","",$B$15*(B539-$B$14))</f>
        <v/>
      </c>
      <c r="D539" s="46">
        <f>IF(OR(A539="",C539="",D538="",C538=""),"",D538+(C538+C539)/2*(A539-A538)*60)</f>
        <v/>
      </c>
      <c r="E539" s="20">
        <f>IF(OR(D539="",$B$18=""),"",D539/$B$18)</f>
        <v/>
      </c>
      <c r="F539" s="29">
        <f>IF(OR(C539="",$B$18=""),"",C539*60/$B$18)</f>
        <v/>
      </c>
    </row>
    <row r="540">
      <c r="A540" s="26" t="n"/>
      <c r="B540" s="44" t="n"/>
      <c r="C540" s="45">
        <f>IF(B540="","",$B$15*(B540-$B$14))</f>
        <v/>
      </c>
      <c r="D540" s="46">
        <f>IF(OR(A540="",C540="",D539="",C539=""),"",D539+(C539+C540)/2*(A540-A539)*60)</f>
        <v/>
      </c>
      <c r="E540" s="20">
        <f>IF(OR(D540="",$B$18=""),"",D540/$B$18)</f>
        <v/>
      </c>
      <c r="F540" s="29">
        <f>IF(OR(C540="",$B$18=""),"",C540*60/$B$18)</f>
        <v/>
      </c>
    </row>
    <row r="541">
      <c r="A541" s="26" t="n"/>
      <c r="B541" s="44" t="n"/>
      <c r="C541" s="45">
        <f>IF(B541="","",$B$15*(B541-$B$14))</f>
        <v/>
      </c>
      <c r="D541" s="46">
        <f>IF(OR(A541="",C541="",D540="",C540=""),"",D540+(C540+C541)/2*(A541-A540)*60)</f>
        <v/>
      </c>
      <c r="E541" s="20">
        <f>IF(OR(D541="",$B$18=""),"",D541/$B$18)</f>
        <v/>
      </c>
      <c r="F541" s="29">
        <f>IF(OR(C541="",$B$18=""),"",C541*60/$B$18)</f>
        <v/>
      </c>
    </row>
    <row r="542">
      <c r="A542" s="26" t="n"/>
      <c r="B542" s="44" t="n"/>
      <c r="C542" s="45">
        <f>IF(B542="","",$B$15*(B542-$B$14))</f>
        <v/>
      </c>
      <c r="D542" s="46">
        <f>IF(OR(A542="",C542="",D541="",C541=""),"",D541+(C541+C542)/2*(A542-A541)*60)</f>
        <v/>
      </c>
      <c r="E542" s="20">
        <f>IF(OR(D542="",$B$18=""),"",D542/$B$18)</f>
        <v/>
      </c>
      <c r="F542" s="29">
        <f>IF(OR(C542="",$B$18=""),"",C542*60/$B$18)</f>
        <v/>
      </c>
    </row>
    <row r="543">
      <c r="A543" s="26" t="n"/>
      <c r="B543" s="44" t="n"/>
      <c r="C543" s="45">
        <f>IF(B543="","",$B$15*(B543-$B$14))</f>
        <v/>
      </c>
      <c r="D543" s="46">
        <f>IF(OR(A543="",C543="",D542="",C542=""),"",D542+(C542+C543)/2*(A543-A542)*60)</f>
        <v/>
      </c>
      <c r="E543" s="20">
        <f>IF(OR(D543="",$B$18=""),"",D543/$B$18)</f>
        <v/>
      </c>
      <c r="F543" s="29">
        <f>IF(OR(C543="",$B$18=""),"",C543*60/$B$18)</f>
        <v/>
      </c>
    </row>
    <row r="544">
      <c r="A544" s="26" t="n"/>
      <c r="B544" s="44" t="n"/>
      <c r="C544" s="45">
        <f>IF(B544="","",$B$15*(B544-$B$14))</f>
        <v/>
      </c>
      <c r="D544" s="46">
        <f>IF(OR(A544="",C544="",D543="",C543=""),"",D543+(C543+C544)/2*(A544-A543)*60)</f>
        <v/>
      </c>
      <c r="E544" s="20">
        <f>IF(OR(D544="",$B$18=""),"",D544/$B$18)</f>
        <v/>
      </c>
      <c r="F544" s="29">
        <f>IF(OR(C544="",$B$18=""),"",C544*60/$B$18)</f>
        <v/>
      </c>
    </row>
    <row r="545">
      <c r="A545" s="26" t="n"/>
      <c r="B545" s="44" t="n"/>
      <c r="C545" s="45">
        <f>IF(B545="","",$B$15*(B545-$B$14))</f>
        <v/>
      </c>
      <c r="D545" s="46">
        <f>IF(OR(A545="",C545="",D544="",C544=""),"",D544+(C544+C545)/2*(A545-A544)*60)</f>
        <v/>
      </c>
      <c r="E545" s="20">
        <f>IF(OR(D545="",$B$18=""),"",D545/$B$18)</f>
        <v/>
      </c>
      <c r="F545" s="29">
        <f>IF(OR(C545="",$B$18=""),"",C545*60/$B$18)</f>
        <v/>
      </c>
    </row>
    <row r="546">
      <c r="A546" s="26" t="n"/>
      <c r="B546" s="44" t="n"/>
      <c r="C546" s="45">
        <f>IF(B546="","",$B$15*(B546-$B$14))</f>
        <v/>
      </c>
      <c r="D546" s="46">
        <f>IF(OR(A546="",C546="",D545="",C545=""),"",D545+(C545+C546)/2*(A546-A545)*60)</f>
        <v/>
      </c>
      <c r="E546" s="20">
        <f>IF(OR(D546="",$B$18=""),"",D546/$B$18)</f>
        <v/>
      </c>
      <c r="F546" s="29">
        <f>IF(OR(C546="",$B$18=""),"",C546*60/$B$18)</f>
        <v/>
      </c>
    </row>
    <row r="547">
      <c r="A547" s="26" t="n"/>
      <c r="B547" s="44" t="n"/>
      <c r="C547" s="45">
        <f>IF(B547="","",$B$15*(B547-$B$14))</f>
        <v/>
      </c>
      <c r="D547" s="46">
        <f>IF(OR(A547="",C547="",D546="",C546=""),"",D546+(C546+C547)/2*(A547-A546)*60)</f>
        <v/>
      </c>
      <c r="E547" s="20">
        <f>IF(OR(D547="",$B$18=""),"",D547/$B$18)</f>
        <v/>
      </c>
      <c r="F547" s="29">
        <f>IF(OR(C547="",$B$18=""),"",C547*60/$B$18)</f>
        <v/>
      </c>
    </row>
    <row r="548">
      <c r="A548" s="26" t="n"/>
      <c r="B548" s="44" t="n"/>
      <c r="C548" s="45">
        <f>IF(B548="","",$B$15*(B548-$B$14))</f>
        <v/>
      </c>
      <c r="D548" s="46">
        <f>IF(OR(A548="",C548="",D547="",C547=""),"",D547+(C547+C548)/2*(A548-A547)*60)</f>
        <v/>
      </c>
      <c r="E548" s="20">
        <f>IF(OR(D548="",$B$18=""),"",D548/$B$18)</f>
        <v/>
      </c>
      <c r="F548" s="29">
        <f>IF(OR(C548="",$B$18=""),"",C548*60/$B$18)</f>
        <v/>
      </c>
    </row>
    <row r="549">
      <c r="A549" s="26" t="n"/>
      <c r="B549" s="44" t="n"/>
      <c r="C549" s="45">
        <f>IF(B549="","",$B$15*(B549-$B$14))</f>
        <v/>
      </c>
      <c r="D549" s="46">
        <f>IF(OR(A549="",C549="",D548="",C548=""),"",D548+(C548+C549)/2*(A549-A548)*60)</f>
        <v/>
      </c>
      <c r="E549" s="20">
        <f>IF(OR(D549="",$B$18=""),"",D549/$B$18)</f>
        <v/>
      </c>
      <c r="F549" s="29">
        <f>IF(OR(C549="",$B$18=""),"",C549*60/$B$18)</f>
        <v/>
      </c>
    </row>
    <row r="550">
      <c r="A550" s="26" t="n"/>
      <c r="B550" s="44" t="n"/>
      <c r="C550" s="45">
        <f>IF(B550="","",$B$15*(B550-$B$14))</f>
        <v/>
      </c>
      <c r="D550" s="46">
        <f>IF(OR(A550="",C550="",D549="",C549=""),"",D549+(C549+C550)/2*(A550-A549)*60)</f>
        <v/>
      </c>
      <c r="E550" s="20">
        <f>IF(OR(D550="",$B$18=""),"",D550/$B$18)</f>
        <v/>
      </c>
      <c r="F550" s="29">
        <f>IF(OR(C550="",$B$18=""),"",C550*60/$B$18)</f>
        <v/>
      </c>
    </row>
    <row r="551">
      <c r="A551" s="26" t="n"/>
      <c r="B551" s="44" t="n"/>
      <c r="C551" s="45">
        <f>IF(B551="","",$B$15*(B551-$B$14))</f>
        <v/>
      </c>
      <c r="D551" s="46">
        <f>IF(OR(A551="",C551="",D550="",C550=""),"",D550+(C550+C551)/2*(A551-A550)*60)</f>
        <v/>
      </c>
      <c r="E551" s="20">
        <f>IF(OR(D551="",$B$18=""),"",D551/$B$18)</f>
        <v/>
      </c>
      <c r="F551" s="29">
        <f>IF(OR(C551="",$B$18=""),"",C551*60/$B$18)</f>
        <v/>
      </c>
    </row>
    <row r="552">
      <c r="A552" s="26" t="n"/>
      <c r="B552" s="44" t="n"/>
      <c r="C552" s="45">
        <f>IF(B552="","",$B$15*(B552-$B$14))</f>
        <v/>
      </c>
      <c r="D552" s="46">
        <f>IF(OR(A552="",C552="",D551="",C551=""),"",D551+(C551+C552)/2*(A552-A551)*60)</f>
        <v/>
      </c>
      <c r="E552" s="20">
        <f>IF(OR(D552="",$B$18=""),"",D552/$B$18)</f>
        <v/>
      </c>
      <c r="F552" s="29">
        <f>IF(OR(C552="",$B$18=""),"",C552*60/$B$18)</f>
        <v/>
      </c>
    </row>
    <row r="553">
      <c r="A553" s="26" t="n"/>
      <c r="B553" s="44" t="n"/>
      <c r="C553" s="45">
        <f>IF(B553="","",$B$15*(B553-$B$14))</f>
        <v/>
      </c>
      <c r="D553" s="46">
        <f>IF(OR(A553="",C553="",D552="",C552=""),"",D552+(C552+C553)/2*(A553-A552)*60)</f>
        <v/>
      </c>
      <c r="E553" s="20">
        <f>IF(OR(D553="",$B$18=""),"",D553/$B$18)</f>
        <v/>
      </c>
      <c r="F553" s="29">
        <f>IF(OR(C553="",$B$18=""),"",C553*60/$B$18)</f>
        <v/>
      </c>
    </row>
    <row r="554">
      <c r="A554" s="26" t="n"/>
      <c r="B554" s="44" t="n"/>
      <c r="C554" s="45">
        <f>IF(B554="","",$B$15*(B554-$B$14))</f>
        <v/>
      </c>
      <c r="D554" s="46">
        <f>IF(OR(A554="",C554="",D553="",C553=""),"",D553+(C553+C554)/2*(A554-A553)*60)</f>
        <v/>
      </c>
      <c r="E554" s="20">
        <f>IF(OR(D554="",$B$18=""),"",D554/$B$18)</f>
        <v/>
      </c>
      <c r="F554" s="29">
        <f>IF(OR(C554="",$B$18=""),"",C554*60/$B$18)</f>
        <v/>
      </c>
    </row>
    <row r="555">
      <c r="A555" s="26" t="n"/>
      <c r="B555" s="44" t="n"/>
      <c r="C555" s="45">
        <f>IF(B555="","",$B$15*(B555-$B$14))</f>
        <v/>
      </c>
      <c r="D555" s="46">
        <f>IF(OR(A555="",C555="",D554="",C554=""),"",D554+(C554+C555)/2*(A555-A554)*60)</f>
        <v/>
      </c>
      <c r="E555" s="20">
        <f>IF(OR(D555="",$B$18=""),"",D555/$B$18)</f>
        <v/>
      </c>
      <c r="F555" s="29">
        <f>IF(OR(C555="",$B$18=""),"",C555*60/$B$18)</f>
        <v/>
      </c>
    </row>
    <row r="556">
      <c r="A556" s="26" t="n"/>
      <c r="B556" s="44" t="n"/>
      <c r="C556" s="45">
        <f>IF(B556="","",$B$15*(B556-$B$14))</f>
        <v/>
      </c>
      <c r="D556" s="46">
        <f>IF(OR(A556="",C556="",D555="",C555=""),"",D555+(C555+C556)/2*(A556-A555)*60)</f>
        <v/>
      </c>
      <c r="E556" s="20">
        <f>IF(OR(D556="",$B$18=""),"",D556/$B$18)</f>
        <v/>
      </c>
      <c r="F556" s="29">
        <f>IF(OR(C556="",$B$18=""),"",C556*60/$B$18)</f>
        <v/>
      </c>
    </row>
    <row r="557">
      <c r="A557" s="26" t="n"/>
      <c r="B557" s="44" t="n"/>
      <c r="C557" s="45">
        <f>IF(B557="","",$B$15*(B557-$B$14))</f>
        <v/>
      </c>
      <c r="D557" s="46">
        <f>IF(OR(A557="",C557="",D556="",C556=""),"",D556+(C556+C557)/2*(A557-A556)*60)</f>
        <v/>
      </c>
      <c r="E557" s="20">
        <f>IF(OR(D557="",$B$18=""),"",D557/$B$18)</f>
        <v/>
      </c>
      <c r="F557" s="29">
        <f>IF(OR(C557="",$B$18=""),"",C557*60/$B$18)</f>
        <v/>
      </c>
    </row>
    <row r="558">
      <c r="A558" s="26" t="n"/>
      <c r="B558" s="44" t="n"/>
      <c r="C558" s="45">
        <f>IF(B558="","",$B$15*(B558-$B$14))</f>
        <v/>
      </c>
      <c r="D558" s="46">
        <f>IF(OR(A558="",C558="",D557="",C557=""),"",D557+(C557+C558)/2*(A558-A557)*60)</f>
        <v/>
      </c>
      <c r="E558" s="20">
        <f>IF(OR(D558="",$B$18=""),"",D558/$B$18)</f>
        <v/>
      </c>
      <c r="F558" s="29">
        <f>IF(OR(C558="",$B$18=""),"",C558*60/$B$18)</f>
        <v/>
      </c>
    </row>
    <row r="559">
      <c r="A559" s="26" t="n"/>
      <c r="B559" s="44" t="n"/>
      <c r="C559" s="45">
        <f>IF(B559="","",$B$15*(B559-$B$14))</f>
        <v/>
      </c>
      <c r="D559" s="46">
        <f>IF(OR(A559="",C559="",D558="",C558=""),"",D558+(C558+C559)/2*(A559-A558)*60)</f>
        <v/>
      </c>
      <c r="E559" s="20">
        <f>IF(OR(D559="",$B$18=""),"",D559/$B$18)</f>
        <v/>
      </c>
      <c r="F559" s="29">
        <f>IF(OR(C559="",$B$18=""),"",C559*60/$B$18)</f>
        <v/>
      </c>
    </row>
    <row r="560">
      <c r="A560" s="26" t="n"/>
      <c r="B560" s="44" t="n"/>
      <c r="C560" s="45">
        <f>IF(B560="","",$B$15*(B560-$B$14))</f>
        <v/>
      </c>
      <c r="D560" s="46">
        <f>IF(OR(A560="",C560="",D559="",C559=""),"",D559+(C559+C560)/2*(A560-A559)*60)</f>
        <v/>
      </c>
      <c r="E560" s="20">
        <f>IF(OR(D560="",$B$18=""),"",D560/$B$18)</f>
        <v/>
      </c>
      <c r="F560" s="29">
        <f>IF(OR(C560="",$B$18=""),"",C560*60/$B$18)</f>
        <v/>
      </c>
    </row>
    <row r="561">
      <c r="A561" s="26" t="n"/>
      <c r="B561" s="44" t="n"/>
      <c r="C561" s="45">
        <f>IF(B561="","",$B$15*(B561-$B$14))</f>
        <v/>
      </c>
      <c r="D561" s="46">
        <f>IF(OR(A561="",C561="",D560="",C560=""),"",D560+(C560+C561)/2*(A561-A560)*60)</f>
        <v/>
      </c>
      <c r="E561" s="20">
        <f>IF(OR(D561="",$B$18=""),"",D561/$B$18)</f>
        <v/>
      </c>
      <c r="F561" s="29">
        <f>IF(OR(C561="",$B$18=""),"",C561*60/$B$18)</f>
        <v/>
      </c>
    </row>
    <row r="562">
      <c r="A562" s="26" t="n"/>
      <c r="B562" s="44" t="n"/>
      <c r="C562" s="45">
        <f>IF(B562="","",$B$15*(B562-$B$14))</f>
        <v/>
      </c>
      <c r="D562" s="46">
        <f>IF(OR(A562="",C562="",D561="",C561=""),"",D561+(C561+C562)/2*(A562-A561)*60)</f>
        <v/>
      </c>
      <c r="E562" s="20">
        <f>IF(OR(D562="",$B$18=""),"",D562/$B$18)</f>
        <v/>
      </c>
      <c r="F562" s="29">
        <f>IF(OR(C562="",$B$18=""),"",C562*60/$B$18)</f>
        <v/>
      </c>
    </row>
    <row r="563">
      <c r="A563" s="26" t="n"/>
      <c r="B563" s="44" t="n"/>
      <c r="C563" s="45">
        <f>IF(B563="","",$B$15*(B563-$B$14))</f>
        <v/>
      </c>
      <c r="D563" s="46">
        <f>IF(OR(A563="",C563="",D562="",C562=""),"",D562+(C562+C563)/2*(A563-A562)*60)</f>
        <v/>
      </c>
      <c r="E563" s="20">
        <f>IF(OR(D563="",$B$18=""),"",D563/$B$18)</f>
        <v/>
      </c>
      <c r="F563" s="29">
        <f>IF(OR(C563="",$B$18=""),"",C563*60/$B$18)</f>
        <v/>
      </c>
    </row>
    <row r="564">
      <c r="A564" s="26" t="n"/>
      <c r="B564" s="44" t="n"/>
      <c r="C564" s="45">
        <f>IF(B564="","",$B$15*(B564-$B$14))</f>
        <v/>
      </c>
      <c r="D564" s="46">
        <f>IF(OR(A564="",C564="",D563="",C563=""),"",D563+(C563+C564)/2*(A564-A563)*60)</f>
        <v/>
      </c>
      <c r="E564" s="20">
        <f>IF(OR(D564="",$B$18=""),"",D564/$B$18)</f>
        <v/>
      </c>
      <c r="F564" s="29">
        <f>IF(OR(C564="",$B$18=""),"",C564*60/$B$18)</f>
        <v/>
      </c>
    </row>
    <row r="565">
      <c r="A565" s="26" t="n"/>
      <c r="B565" s="44" t="n"/>
      <c r="C565" s="45">
        <f>IF(B565="","",$B$15*(B565-$B$14))</f>
        <v/>
      </c>
      <c r="D565" s="46">
        <f>IF(OR(A565="",C565="",D564="",C564=""),"",D564+(C564+C565)/2*(A565-A564)*60)</f>
        <v/>
      </c>
      <c r="E565" s="20">
        <f>IF(OR(D565="",$B$18=""),"",D565/$B$18)</f>
        <v/>
      </c>
      <c r="F565" s="29">
        <f>IF(OR(C565="",$B$18=""),"",C565*60/$B$18)</f>
        <v/>
      </c>
    </row>
    <row r="566">
      <c r="A566" s="26" t="n"/>
      <c r="B566" s="44" t="n"/>
      <c r="C566" s="45">
        <f>IF(B566="","",$B$15*(B566-$B$14))</f>
        <v/>
      </c>
      <c r="D566" s="46">
        <f>IF(OR(A566="",C566="",D565="",C565=""),"",D565+(C565+C566)/2*(A566-A565)*60)</f>
        <v/>
      </c>
      <c r="E566" s="20">
        <f>IF(OR(D566="",$B$18=""),"",D566/$B$18)</f>
        <v/>
      </c>
      <c r="F566" s="29">
        <f>IF(OR(C566="",$B$18=""),"",C566*60/$B$18)</f>
        <v/>
      </c>
    </row>
    <row r="567">
      <c r="A567" s="26" t="n"/>
      <c r="B567" s="44" t="n"/>
      <c r="C567" s="45">
        <f>IF(B567="","",$B$15*(B567-$B$14))</f>
        <v/>
      </c>
      <c r="D567" s="46">
        <f>IF(OR(A567="",C567="",D566="",C566=""),"",D566+(C566+C567)/2*(A567-A566)*60)</f>
        <v/>
      </c>
      <c r="E567" s="20">
        <f>IF(OR(D567="",$B$18=""),"",D567/$B$18)</f>
        <v/>
      </c>
      <c r="F567" s="29">
        <f>IF(OR(C567="",$B$18=""),"",C567*60/$B$18)</f>
        <v/>
      </c>
    </row>
    <row r="568">
      <c r="A568" s="26" t="n"/>
      <c r="B568" s="44" t="n"/>
      <c r="C568" s="45">
        <f>IF(B568="","",$B$15*(B568-$B$14))</f>
        <v/>
      </c>
      <c r="D568" s="46">
        <f>IF(OR(A568="",C568="",D567="",C567=""),"",D567+(C567+C568)/2*(A568-A567)*60)</f>
        <v/>
      </c>
      <c r="E568" s="20">
        <f>IF(OR(D568="",$B$18=""),"",D568/$B$18)</f>
        <v/>
      </c>
      <c r="F568" s="29">
        <f>IF(OR(C568="",$B$18=""),"",C568*60/$B$18)</f>
        <v/>
      </c>
    </row>
    <row r="569">
      <c r="A569" s="26" t="n"/>
      <c r="B569" s="44" t="n"/>
      <c r="C569" s="45">
        <f>IF(B569="","",$B$15*(B569-$B$14))</f>
        <v/>
      </c>
      <c r="D569" s="46">
        <f>IF(OR(A569="",C569="",D568="",C568=""),"",D568+(C568+C569)/2*(A569-A568)*60)</f>
        <v/>
      </c>
      <c r="E569" s="20">
        <f>IF(OR(D569="",$B$18=""),"",D569/$B$18)</f>
        <v/>
      </c>
      <c r="F569" s="29">
        <f>IF(OR(C569="",$B$18=""),"",C569*60/$B$18)</f>
        <v/>
      </c>
    </row>
    <row r="570">
      <c r="A570" s="26" t="n"/>
      <c r="B570" s="44" t="n"/>
      <c r="C570" s="45">
        <f>IF(B570="","",$B$15*(B570-$B$14))</f>
        <v/>
      </c>
      <c r="D570" s="46">
        <f>IF(OR(A570="",C570="",D569="",C569=""),"",D569+(C569+C570)/2*(A570-A569)*60)</f>
        <v/>
      </c>
      <c r="E570" s="20">
        <f>IF(OR(D570="",$B$18=""),"",D570/$B$18)</f>
        <v/>
      </c>
      <c r="F570" s="29">
        <f>IF(OR(C570="",$B$18=""),"",C570*60/$B$18)</f>
        <v/>
      </c>
    </row>
    <row r="571">
      <c r="A571" s="26" t="n"/>
      <c r="B571" s="44" t="n"/>
      <c r="C571" s="45">
        <f>IF(B571="","",$B$15*(B571-$B$14))</f>
        <v/>
      </c>
      <c r="D571" s="46">
        <f>IF(OR(A571="",C571="",D570="",C570=""),"",D570+(C570+C571)/2*(A571-A570)*60)</f>
        <v/>
      </c>
      <c r="E571" s="20">
        <f>IF(OR(D571="",$B$18=""),"",D571/$B$18)</f>
        <v/>
      </c>
      <c r="F571" s="29">
        <f>IF(OR(C571="",$B$18=""),"",C571*60/$B$18)</f>
        <v/>
      </c>
    </row>
    <row r="572">
      <c r="A572" s="26" t="n"/>
      <c r="B572" s="44" t="n"/>
      <c r="C572" s="45">
        <f>IF(B572="","",$B$15*(B572-$B$14))</f>
        <v/>
      </c>
      <c r="D572" s="46">
        <f>IF(OR(A572="",C572="",D571="",C571=""),"",D571+(C571+C572)/2*(A572-A571)*60)</f>
        <v/>
      </c>
      <c r="E572" s="20">
        <f>IF(OR(D572="",$B$18=""),"",D572/$B$18)</f>
        <v/>
      </c>
      <c r="F572" s="29">
        <f>IF(OR(C572="",$B$18=""),"",C572*60/$B$18)</f>
        <v/>
      </c>
    </row>
    <row r="573">
      <c r="A573" s="26" t="n"/>
      <c r="B573" s="44" t="n"/>
      <c r="C573" s="45">
        <f>IF(B573="","",$B$15*(B573-$B$14))</f>
        <v/>
      </c>
      <c r="D573" s="46">
        <f>IF(OR(A573="",C573="",D572="",C572=""),"",D572+(C572+C573)/2*(A573-A572)*60)</f>
        <v/>
      </c>
      <c r="E573" s="20">
        <f>IF(OR(D573="",$B$18=""),"",D573/$B$18)</f>
        <v/>
      </c>
      <c r="F573" s="29">
        <f>IF(OR(C573="",$B$18=""),"",C573*60/$B$18)</f>
        <v/>
      </c>
    </row>
    <row r="574">
      <c r="A574" s="26" t="n"/>
      <c r="B574" s="44" t="n"/>
      <c r="C574" s="45">
        <f>IF(B574="","",$B$15*(B574-$B$14))</f>
        <v/>
      </c>
      <c r="D574" s="46">
        <f>IF(OR(A574="",C574="",D573="",C573=""),"",D573+(C573+C574)/2*(A574-A573)*60)</f>
        <v/>
      </c>
      <c r="E574" s="20">
        <f>IF(OR(D574="",$B$18=""),"",D574/$B$18)</f>
        <v/>
      </c>
      <c r="F574" s="29">
        <f>IF(OR(C574="",$B$18=""),"",C574*60/$B$18)</f>
        <v/>
      </c>
    </row>
    <row r="575">
      <c r="A575" s="26" t="n"/>
      <c r="B575" s="44" t="n"/>
      <c r="C575" s="45">
        <f>IF(B575="","",$B$15*(B575-$B$14))</f>
        <v/>
      </c>
      <c r="D575" s="46">
        <f>IF(OR(A575="",C575="",D574="",C574=""),"",D574+(C574+C575)/2*(A575-A574)*60)</f>
        <v/>
      </c>
      <c r="E575" s="20">
        <f>IF(OR(D575="",$B$18=""),"",D575/$B$18)</f>
        <v/>
      </c>
      <c r="F575" s="29">
        <f>IF(OR(C575="",$B$18=""),"",C575*60/$B$18)</f>
        <v/>
      </c>
    </row>
    <row r="576">
      <c r="A576" s="26" t="n"/>
      <c r="B576" s="44" t="n"/>
      <c r="C576" s="45">
        <f>IF(B576="","",$B$15*(B576-$B$14))</f>
        <v/>
      </c>
      <c r="D576" s="46">
        <f>IF(OR(A576="",C576="",D575="",C575=""),"",D575+(C575+C576)/2*(A576-A575)*60)</f>
        <v/>
      </c>
      <c r="E576" s="20">
        <f>IF(OR(D576="",$B$18=""),"",D576/$B$18)</f>
        <v/>
      </c>
      <c r="F576" s="29">
        <f>IF(OR(C576="",$B$18=""),"",C576*60/$B$18)</f>
        <v/>
      </c>
    </row>
    <row r="577">
      <c r="A577" s="26" t="n"/>
      <c r="B577" s="44" t="n"/>
      <c r="C577" s="45">
        <f>IF(B577="","",$B$15*(B577-$B$14))</f>
        <v/>
      </c>
      <c r="D577" s="46">
        <f>IF(OR(A577="",C577="",D576="",C576=""),"",D576+(C576+C577)/2*(A577-A576)*60)</f>
        <v/>
      </c>
      <c r="E577" s="20">
        <f>IF(OR(D577="",$B$18=""),"",D577/$B$18)</f>
        <v/>
      </c>
      <c r="F577" s="29">
        <f>IF(OR(C577="",$B$18=""),"",C577*60/$B$18)</f>
        <v/>
      </c>
    </row>
    <row r="578">
      <c r="A578" s="26" t="n"/>
      <c r="B578" s="44" t="n"/>
      <c r="C578" s="45">
        <f>IF(B578="","",$B$15*(B578-$B$14))</f>
        <v/>
      </c>
      <c r="D578" s="46">
        <f>IF(OR(A578="",C578="",D577="",C577=""),"",D577+(C577+C578)/2*(A578-A577)*60)</f>
        <v/>
      </c>
      <c r="E578" s="20">
        <f>IF(OR(D578="",$B$18=""),"",D578/$B$18)</f>
        <v/>
      </c>
      <c r="F578" s="29">
        <f>IF(OR(C578="",$B$18=""),"",C578*60/$B$18)</f>
        <v/>
      </c>
    </row>
    <row r="579">
      <c r="A579" s="26" t="n"/>
      <c r="B579" s="44" t="n"/>
      <c r="C579" s="45">
        <f>IF(B579="","",$B$15*(B579-$B$14))</f>
        <v/>
      </c>
      <c r="D579" s="46">
        <f>IF(OR(A579="",C579="",D578="",C578=""),"",D578+(C578+C579)/2*(A579-A578)*60)</f>
        <v/>
      </c>
      <c r="E579" s="20">
        <f>IF(OR(D579="",$B$18=""),"",D579/$B$18)</f>
        <v/>
      </c>
      <c r="F579" s="29">
        <f>IF(OR(C579="",$B$18=""),"",C579*60/$B$18)</f>
        <v/>
      </c>
    </row>
    <row r="580">
      <c r="A580" s="26" t="n"/>
      <c r="B580" s="44" t="n"/>
      <c r="C580" s="45">
        <f>IF(B580="","",$B$15*(B580-$B$14))</f>
        <v/>
      </c>
      <c r="D580" s="46">
        <f>IF(OR(A580="",C580="",D579="",C579=""),"",D579+(C579+C580)/2*(A580-A579)*60)</f>
        <v/>
      </c>
      <c r="E580" s="20">
        <f>IF(OR(D580="",$B$18=""),"",D580/$B$18)</f>
        <v/>
      </c>
      <c r="F580" s="29">
        <f>IF(OR(C580="",$B$18=""),"",C580*60/$B$18)</f>
        <v/>
      </c>
    </row>
    <row r="581">
      <c r="A581" s="26" t="n"/>
      <c r="B581" s="44" t="n"/>
      <c r="C581" s="45">
        <f>IF(B581="","",$B$15*(B581-$B$14))</f>
        <v/>
      </c>
      <c r="D581" s="46">
        <f>IF(OR(A581="",C581="",D580="",C580=""),"",D580+(C580+C581)/2*(A581-A580)*60)</f>
        <v/>
      </c>
      <c r="E581" s="20">
        <f>IF(OR(D581="",$B$18=""),"",D581/$B$18)</f>
        <v/>
      </c>
      <c r="F581" s="29">
        <f>IF(OR(C581="",$B$18=""),"",C581*60/$B$18)</f>
        <v/>
      </c>
    </row>
    <row r="582">
      <c r="A582" s="26" t="n"/>
      <c r="B582" s="44" t="n"/>
      <c r="C582" s="45">
        <f>IF(B582="","",$B$15*(B582-$B$14))</f>
        <v/>
      </c>
      <c r="D582" s="46">
        <f>IF(OR(A582="",C582="",D581="",C581=""),"",D581+(C581+C582)/2*(A582-A581)*60)</f>
        <v/>
      </c>
      <c r="E582" s="20">
        <f>IF(OR(D582="",$B$18=""),"",D582/$B$18)</f>
        <v/>
      </c>
      <c r="F582" s="29">
        <f>IF(OR(C582="",$B$18=""),"",C582*60/$B$18)</f>
        <v/>
      </c>
    </row>
    <row r="583">
      <c r="A583" s="26" t="n"/>
      <c r="B583" s="44" t="n"/>
      <c r="C583" s="45">
        <f>IF(B583="","",$B$15*(B583-$B$14))</f>
        <v/>
      </c>
      <c r="D583" s="46">
        <f>IF(OR(A583="",C583="",D582="",C582=""),"",D582+(C582+C583)/2*(A583-A582)*60)</f>
        <v/>
      </c>
      <c r="E583" s="20">
        <f>IF(OR(D583="",$B$18=""),"",D583/$B$18)</f>
        <v/>
      </c>
      <c r="F583" s="29">
        <f>IF(OR(C583="",$B$18=""),"",C583*60/$B$18)</f>
        <v/>
      </c>
    </row>
    <row r="584">
      <c r="A584" s="26" t="n"/>
      <c r="B584" s="44" t="n"/>
      <c r="C584" s="45">
        <f>IF(B584="","",$B$15*(B584-$B$14))</f>
        <v/>
      </c>
      <c r="D584" s="46">
        <f>IF(OR(A584="",C584="",D583="",C583=""),"",D583+(C583+C584)/2*(A584-A583)*60)</f>
        <v/>
      </c>
      <c r="E584" s="20">
        <f>IF(OR(D584="",$B$18=""),"",D584/$B$18)</f>
        <v/>
      </c>
      <c r="F584" s="29">
        <f>IF(OR(C584="",$B$18=""),"",C584*60/$B$18)</f>
        <v/>
      </c>
    </row>
    <row r="585">
      <c r="A585" s="26" t="n"/>
      <c r="B585" s="44" t="n"/>
      <c r="C585" s="45">
        <f>IF(B585="","",$B$15*(B585-$B$14))</f>
        <v/>
      </c>
      <c r="D585" s="46">
        <f>IF(OR(A585="",C585="",D584="",C584=""),"",D584+(C584+C585)/2*(A585-A584)*60)</f>
        <v/>
      </c>
      <c r="E585" s="20">
        <f>IF(OR(D585="",$B$18=""),"",D585/$B$18)</f>
        <v/>
      </c>
      <c r="F585" s="29">
        <f>IF(OR(C585="",$B$18=""),"",C585*60/$B$18)</f>
        <v/>
      </c>
    </row>
    <row r="586">
      <c r="A586" s="26" t="n"/>
      <c r="B586" s="44" t="n"/>
      <c r="C586" s="45">
        <f>IF(B586="","",$B$15*(B586-$B$14))</f>
        <v/>
      </c>
      <c r="D586" s="46">
        <f>IF(OR(A586="",C586="",D585="",C585=""),"",D585+(C585+C586)/2*(A586-A585)*60)</f>
        <v/>
      </c>
      <c r="E586" s="20">
        <f>IF(OR(D586="",$B$18=""),"",D586/$B$18)</f>
        <v/>
      </c>
      <c r="F586" s="29">
        <f>IF(OR(C586="",$B$18=""),"",C586*60/$B$18)</f>
        <v/>
      </c>
    </row>
    <row r="587">
      <c r="A587" s="26" t="n"/>
      <c r="B587" s="44" t="n"/>
      <c r="C587" s="45">
        <f>IF(B587="","",$B$15*(B587-$B$14))</f>
        <v/>
      </c>
      <c r="D587" s="46">
        <f>IF(OR(A587="",C587="",D586="",C586=""),"",D586+(C586+C587)/2*(A587-A586)*60)</f>
        <v/>
      </c>
      <c r="E587" s="20">
        <f>IF(OR(D587="",$B$18=""),"",D587/$B$18)</f>
        <v/>
      </c>
      <c r="F587" s="29">
        <f>IF(OR(C587="",$B$18=""),"",C587*60/$B$18)</f>
        <v/>
      </c>
    </row>
    <row r="588">
      <c r="A588" s="26" t="n"/>
      <c r="B588" s="44" t="n"/>
      <c r="C588" s="45">
        <f>IF(B588="","",$B$15*(B588-$B$14))</f>
        <v/>
      </c>
      <c r="D588" s="46">
        <f>IF(OR(A588="",C588="",D587="",C587=""),"",D587+(C587+C588)/2*(A588-A587)*60)</f>
        <v/>
      </c>
      <c r="E588" s="20">
        <f>IF(OR(D588="",$B$18=""),"",D588/$B$18)</f>
        <v/>
      </c>
      <c r="F588" s="29">
        <f>IF(OR(C588="",$B$18=""),"",C588*60/$B$18)</f>
        <v/>
      </c>
    </row>
    <row r="589">
      <c r="A589" s="26" t="n"/>
      <c r="B589" s="44" t="n"/>
      <c r="C589" s="45">
        <f>IF(B589="","",$B$15*(B589-$B$14))</f>
        <v/>
      </c>
      <c r="D589" s="46">
        <f>IF(OR(A589="",C589="",D588="",C588=""),"",D588+(C588+C589)/2*(A589-A588)*60)</f>
        <v/>
      </c>
      <c r="E589" s="20">
        <f>IF(OR(D589="",$B$18=""),"",D589/$B$18)</f>
        <v/>
      </c>
      <c r="F589" s="29">
        <f>IF(OR(C589="",$B$18=""),"",C589*60/$B$18)</f>
        <v/>
      </c>
    </row>
    <row r="590">
      <c r="A590" s="26" t="n"/>
      <c r="B590" s="44" t="n"/>
      <c r="C590" s="45">
        <f>IF(B590="","",$B$15*(B590-$B$14))</f>
        <v/>
      </c>
      <c r="D590" s="46">
        <f>IF(OR(A590="",C590="",D589="",C589=""),"",D589+(C589+C590)/2*(A590-A589)*60)</f>
        <v/>
      </c>
      <c r="E590" s="20">
        <f>IF(OR(D590="",$B$18=""),"",D590/$B$18)</f>
        <v/>
      </c>
      <c r="F590" s="29">
        <f>IF(OR(C590="",$B$18=""),"",C590*60/$B$18)</f>
        <v/>
      </c>
    </row>
    <row r="591">
      <c r="A591" s="26" t="n"/>
      <c r="B591" s="44" t="n"/>
      <c r="C591" s="45">
        <f>IF(B591="","",$B$15*(B591-$B$14))</f>
        <v/>
      </c>
      <c r="D591" s="46">
        <f>IF(OR(A591="",C591="",D590="",C590=""),"",D590+(C590+C591)/2*(A591-A590)*60)</f>
        <v/>
      </c>
      <c r="E591" s="20">
        <f>IF(OR(D591="",$B$18=""),"",D591/$B$18)</f>
        <v/>
      </c>
      <c r="F591" s="29">
        <f>IF(OR(C591="",$B$18=""),"",C591*60/$B$18)</f>
        <v/>
      </c>
    </row>
    <row r="592">
      <c r="A592" s="26" t="n"/>
      <c r="B592" s="44" t="n"/>
      <c r="C592" s="45">
        <f>IF(B592="","",$B$15*(B592-$B$14))</f>
        <v/>
      </c>
      <c r="D592" s="46">
        <f>IF(OR(A592="",C592="",D591="",C591=""),"",D591+(C591+C592)/2*(A592-A591)*60)</f>
        <v/>
      </c>
      <c r="E592" s="20">
        <f>IF(OR(D592="",$B$18=""),"",D592/$B$18)</f>
        <v/>
      </c>
      <c r="F592" s="29">
        <f>IF(OR(C592="",$B$18=""),"",C592*60/$B$18)</f>
        <v/>
      </c>
    </row>
    <row r="593">
      <c r="A593" s="26" t="n"/>
      <c r="B593" s="44" t="n"/>
      <c r="C593" s="45">
        <f>IF(B593="","",$B$15*(B593-$B$14))</f>
        <v/>
      </c>
      <c r="D593" s="46">
        <f>IF(OR(A593="",C593="",D592="",C592=""),"",D592+(C592+C593)/2*(A593-A592)*60)</f>
        <v/>
      </c>
      <c r="E593" s="20">
        <f>IF(OR(D593="",$B$18=""),"",D593/$B$18)</f>
        <v/>
      </c>
      <c r="F593" s="29">
        <f>IF(OR(C593="",$B$18=""),"",C593*60/$B$18)</f>
        <v/>
      </c>
    </row>
    <row r="594">
      <c r="A594" s="26" t="n"/>
      <c r="B594" s="44" t="n"/>
      <c r="C594" s="45">
        <f>IF(B594="","",$B$15*(B594-$B$14))</f>
        <v/>
      </c>
      <c r="D594" s="46">
        <f>IF(OR(A594="",C594="",D593="",C593=""),"",D593+(C593+C594)/2*(A594-A593)*60)</f>
        <v/>
      </c>
      <c r="E594" s="20">
        <f>IF(OR(D594="",$B$18=""),"",D594/$B$18)</f>
        <v/>
      </c>
      <c r="F594" s="29">
        <f>IF(OR(C594="",$B$18=""),"",C594*60/$B$18)</f>
        <v/>
      </c>
    </row>
    <row r="595">
      <c r="A595" s="26" t="n"/>
      <c r="B595" s="44" t="n"/>
      <c r="C595" s="45">
        <f>IF(B595="","",$B$15*(B595-$B$14))</f>
        <v/>
      </c>
      <c r="D595" s="46">
        <f>IF(OR(A595="",C595="",D594="",C594=""),"",D594+(C594+C595)/2*(A595-A594)*60)</f>
        <v/>
      </c>
      <c r="E595" s="20">
        <f>IF(OR(D595="",$B$18=""),"",D595/$B$18)</f>
        <v/>
      </c>
      <c r="F595" s="29">
        <f>IF(OR(C595="",$B$18=""),"",C595*60/$B$18)</f>
        <v/>
      </c>
    </row>
    <row r="596">
      <c r="A596" s="26" t="n"/>
      <c r="B596" s="44" t="n"/>
      <c r="C596" s="45">
        <f>IF(B596="","",$B$15*(B596-$B$14))</f>
        <v/>
      </c>
      <c r="D596" s="46">
        <f>IF(OR(A596="",C596="",D595="",C595=""),"",D595+(C595+C596)/2*(A596-A595)*60)</f>
        <v/>
      </c>
      <c r="E596" s="20">
        <f>IF(OR(D596="",$B$18=""),"",D596/$B$18)</f>
        <v/>
      </c>
      <c r="F596" s="29">
        <f>IF(OR(C596="",$B$18=""),"",C596*60/$B$18)</f>
        <v/>
      </c>
    </row>
    <row r="597">
      <c r="A597" s="26" t="n"/>
      <c r="B597" s="44" t="n"/>
      <c r="C597" s="45">
        <f>IF(B597="","",$B$15*(B597-$B$14))</f>
        <v/>
      </c>
      <c r="D597" s="46">
        <f>IF(OR(A597="",C597="",D596="",C596=""),"",D596+(C596+C597)/2*(A597-A596)*60)</f>
        <v/>
      </c>
      <c r="E597" s="20">
        <f>IF(OR(D597="",$B$18=""),"",D597/$B$18)</f>
        <v/>
      </c>
      <c r="F597" s="29">
        <f>IF(OR(C597="",$B$18=""),"",C597*60/$B$18)</f>
        <v/>
      </c>
    </row>
    <row r="598">
      <c r="A598" s="26" t="n"/>
      <c r="B598" s="44" t="n"/>
      <c r="C598" s="45">
        <f>IF(B598="","",$B$15*(B598-$B$14))</f>
        <v/>
      </c>
      <c r="D598" s="46">
        <f>IF(OR(A598="",C598="",D597="",C597=""),"",D597+(C597+C598)/2*(A598-A597)*60)</f>
        <v/>
      </c>
      <c r="E598" s="20">
        <f>IF(OR(D598="",$B$18=""),"",D598/$B$18)</f>
        <v/>
      </c>
      <c r="F598" s="29">
        <f>IF(OR(C598="",$B$18=""),"",C598*60/$B$18)</f>
        <v/>
      </c>
    </row>
    <row r="599">
      <c r="A599" s="26" t="n"/>
      <c r="B599" s="44" t="n"/>
      <c r="C599" s="45">
        <f>IF(B599="","",$B$15*(B599-$B$14))</f>
        <v/>
      </c>
      <c r="D599" s="46">
        <f>IF(OR(A599="",C599="",D598="",C598=""),"",D598+(C598+C599)/2*(A599-A598)*60)</f>
        <v/>
      </c>
      <c r="E599" s="20">
        <f>IF(OR(D599="",$B$18=""),"",D599/$B$18)</f>
        <v/>
      </c>
      <c r="F599" s="29">
        <f>IF(OR(C599="",$B$18=""),"",C599*60/$B$18)</f>
        <v/>
      </c>
    </row>
    <row r="600">
      <c r="A600" s="26" t="n"/>
      <c r="B600" s="44" t="n"/>
      <c r="C600" s="45">
        <f>IF(B600="","",$B$15*(B600-$B$14))</f>
        <v/>
      </c>
      <c r="D600" s="46">
        <f>IF(OR(A600="",C600="",D599="",C599=""),"",D599+(C599+C600)/2*(A600-A599)*60)</f>
        <v/>
      </c>
      <c r="E600" s="20">
        <f>IF(OR(D600="",$B$18=""),"",D600/$B$18)</f>
        <v/>
      </c>
      <c r="F600" s="29">
        <f>IF(OR(C600="",$B$18=""),"",C600*60/$B$18)</f>
        <v/>
      </c>
    </row>
    <row r="601">
      <c r="A601" s="26" t="n"/>
      <c r="B601" s="44" t="n"/>
      <c r="C601" s="45">
        <f>IF(B601="","",$B$15*(B601-$B$14))</f>
        <v/>
      </c>
      <c r="D601" s="46">
        <f>IF(OR(A601="",C601="",D600="",C600=""),"",D600+(C600+C601)/2*(A601-A600)*60)</f>
        <v/>
      </c>
      <c r="E601" s="20">
        <f>IF(OR(D601="",$B$18=""),"",D601/$B$18)</f>
        <v/>
      </c>
      <c r="F601" s="29">
        <f>IF(OR(C601="",$B$18=""),"",C601*60/$B$18)</f>
        <v/>
      </c>
    </row>
    <row r="602">
      <c r="A602" s="26" t="n"/>
      <c r="B602" s="44" t="n"/>
      <c r="C602" s="45">
        <f>IF(B602="","",$B$15*(B602-$B$14))</f>
        <v/>
      </c>
      <c r="D602" s="46">
        <f>IF(OR(A602="",C602="",D601="",C601=""),"",D601+(C601+C602)/2*(A602-A601)*60)</f>
        <v/>
      </c>
      <c r="E602" s="20">
        <f>IF(OR(D602="",$B$18=""),"",D602/$B$18)</f>
        <v/>
      </c>
      <c r="F602" s="29">
        <f>IF(OR(C602="",$B$18=""),"",C602*60/$B$18)</f>
        <v/>
      </c>
    </row>
    <row r="603">
      <c r="A603" s="26" t="n"/>
      <c r="B603" s="44" t="n"/>
      <c r="C603" s="45">
        <f>IF(B603="","",$B$15*(B603-$B$14))</f>
        <v/>
      </c>
      <c r="D603" s="46">
        <f>IF(OR(A603="",C603="",D602="",C602=""),"",D602+(C602+C603)/2*(A603-A602)*60)</f>
        <v/>
      </c>
      <c r="E603" s="20">
        <f>IF(OR(D603="",$B$18=""),"",D603/$B$18)</f>
        <v/>
      </c>
      <c r="F603" s="29">
        <f>IF(OR(C603="",$B$18=""),"",C603*60/$B$18)</f>
        <v/>
      </c>
    </row>
    <row r="604">
      <c r="A604" s="26" t="n"/>
      <c r="B604" s="44" t="n"/>
      <c r="C604" s="45">
        <f>IF(B604="","",$B$15*(B604-$B$14))</f>
        <v/>
      </c>
      <c r="D604" s="46">
        <f>IF(OR(A604="",C604="",D603="",C603=""),"",D603+(C603+C604)/2*(A604-A603)*60)</f>
        <v/>
      </c>
      <c r="E604" s="20">
        <f>IF(OR(D604="",$B$18=""),"",D604/$B$18)</f>
        <v/>
      </c>
      <c r="F604" s="29">
        <f>IF(OR(C604="",$B$18=""),"",C604*60/$B$18)</f>
        <v/>
      </c>
    </row>
    <row r="605">
      <c r="A605" s="26" t="n"/>
      <c r="B605" s="44" t="n"/>
      <c r="C605" s="45">
        <f>IF(B605="","",$B$15*(B605-$B$14))</f>
        <v/>
      </c>
      <c r="D605" s="46">
        <f>IF(OR(A605="",C605="",D604="",C604=""),"",D604+(C604+C605)/2*(A605-A604)*60)</f>
        <v/>
      </c>
      <c r="E605" s="20">
        <f>IF(OR(D605="",$B$18=""),"",D605/$B$18)</f>
        <v/>
      </c>
      <c r="F605" s="29">
        <f>IF(OR(C605="",$B$18=""),"",C605*60/$B$18)</f>
        <v/>
      </c>
    </row>
    <row r="606">
      <c r="A606" s="26" t="n"/>
      <c r="B606" s="44" t="n"/>
      <c r="C606" s="45">
        <f>IF(B606="","",$B$15*(B606-$B$14))</f>
        <v/>
      </c>
      <c r="D606" s="46">
        <f>IF(OR(A606="",C606="",D605="",C605=""),"",D605+(C605+C606)/2*(A606-A605)*60)</f>
        <v/>
      </c>
      <c r="E606" s="20">
        <f>IF(OR(D606="",$B$18=""),"",D606/$B$18)</f>
        <v/>
      </c>
      <c r="F606" s="29">
        <f>IF(OR(C606="",$B$18=""),"",C606*60/$B$18)</f>
        <v/>
      </c>
    </row>
    <row r="607">
      <c r="A607" s="26" t="n"/>
      <c r="B607" s="44" t="n"/>
      <c r="C607" s="45">
        <f>IF(B607="","",$B$15*(B607-$B$14))</f>
        <v/>
      </c>
      <c r="D607" s="46">
        <f>IF(OR(A607="",C607="",D606="",C606=""),"",D606+(C606+C607)/2*(A607-A606)*60)</f>
        <v/>
      </c>
      <c r="E607" s="20">
        <f>IF(OR(D607="",$B$18=""),"",D607/$B$18)</f>
        <v/>
      </c>
      <c r="F607" s="29">
        <f>IF(OR(C607="",$B$18=""),"",C607*60/$B$18)</f>
        <v/>
      </c>
    </row>
    <row r="608">
      <c r="A608" s="26" t="n"/>
      <c r="B608" s="44" t="n"/>
      <c r="C608" s="45">
        <f>IF(B608="","",$B$15*(B608-$B$14))</f>
        <v/>
      </c>
      <c r="D608" s="46">
        <f>IF(OR(A608="",C608="",D607="",C607=""),"",D607+(C607+C608)/2*(A608-A607)*60)</f>
        <v/>
      </c>
      <c r="E608" s="20">
        <f>IF(OR(D608="",$B$18=""),"",D608/$B$18)</f>
        <v/>
      </c>
      <c r="F608" s="29">
        <f>IF(OR(C608="",$B$18=""),"",C608*60/$B$18)</f>
        <v/>
      </c>
    </row>
    <row r="609">
      <c r="A609" s="26" t="n"/>
      <c r="B609" s="44" t="n"/>
      <c r="C609" s="45">
        <f>IF(B609="","",$B$15*(B609-$B$14))</f>
        <v/>
      </c>
      <c r="D609" s="46">
        <f>IF(OR(A609="",C609="",D608="",C608=""),"",D608+(C608+C609)/2*(A609-A608)*60)</f>
        <v/>
      </c>
      <c r="E609" s="20">
        <f>IF(OR(D609="",$B$18=""),"",D609/$B$18)</f>
        <v/>
      </c>
      <c r="F609" s="29">
        <f>IF(OR(C609="",$B$18=""),"",C609*60/$B$18)</f>
        <v/>
      </c>
    </row>
    <row r="610">
      <c r="A610" s="26" t="n"/>
      <c r="B610" s="44" t="n"/>
      <c r="C610" s="45">
        <f>IF(B610="","",$B$15*(B610-$B$14))</f>
        <v/>
      </c>
      <c r="D610" s="46">
        <f>IF(OR(A610="",C610="",D609="",C609=""),"",D609+(C609+C610)/2*(A610-A609)*60)</f>
        <v/>
      </c>
      <c r="E610" s="20">
        <f>IF(OR(D610="",$B$18=""),"",D610/$B$18)</f>
        <v/>
      </c>
      <c r="F610" s="29">
        <f>IF(OR(C610="",$B$18=""),"",C610*60/$B$18)</f>
        <v/>
      </c>
    </row>
    <row r="611">
      <c r="A611" s="26" t="n"/>
      <c r="B611" s="44" t="n"/>
      <c r="C611" s="45">
        <f>IF(B611="","",$B$15*(B611-$B$14))</f>
        <v/>
      </c>
      <c r="D611" s="46">
        <f>IF(OR(A611="",C611="",D610="",C610=""),"",D610+(C610+C611)/2*(A611-A610)*60)</f>
        <v/>
      </c>
      <c r="E611" s="20">
        <f>IF(OR(D611="",$B$18=""),"",D611/$B$18)</f>
        <v/>
      </c>
      <c r="F611" s="29">
        <f>IF(OR(C611="",$B$18=""),"",C611*60/$B$18)</f>
        <v/>
      </c>
    </row>
    <row r="612">
      <c r="A612" s="26" t="n"/>
      <c r="B612" s="44" t="n"/>
      <c r="C612" s="45">
        <f>IF(B612="","",$B$15*(B612-$B$14))</f>
        <v/>
      </c>
      <c r="D612" s="46">
        <f>IF(OR(A612="",C612="",D611="",C611=""),"",D611+(C611+C612)/2*(A612-A611)*60)</f>
        <v/>
      </c>
      <c r="E612" s="20">
        <f>IF(OR(D612="",$B$18=""),"",D612/$B$18)</f>
        <v/>
      </c>
      <c r="F612" s="29">
        <f>IF(OR(C612="",$B$18=""),"",C612*60/$B$18)</f>
        <v/>
      </c>
    </row>
    <row r="613">
      <c r="A613" s="26" t="n"/>
      <c r="B613" s="44" t="n"/>
      <c r="C613" s="45">
        <f>IF(B613="","",$B$15*(B613-$B$14))</f>
        <v/>
      </c>
      <c r="D613" s="46">
        <f>IF(OR(A613="",C613="",D612="",C612=""),"",D612+(C612+C613)/2*(A613-A612)*60)</f>
        <v/>
      </c>
      <c r="E613" s="20">
        <f>IF(OR(D613="",$B$18=""),"",D613/$B$18)</f>
        <v/>
      </c>
      <c r="F613" s="29">
        <f>IF(OR(C613="",$B$18=""),"",C613*60/$B$18)</f>
        <v/>
      </c>
    </row>
    <row r="614">
      <c r="A614" s="26" t="n"/>
      <c r="B614" s="44" t="n"/>
      <c r="C614" s="45">
        <f>IF(B614="","",$B$15*(B614-$B$14))</f>
        <v/>
      </c>
      <c r="D614" s="46">
        <f>IF(OR(A614="",C614="",D613="",C613=""),"",D613+(C613+C614)/2*(A614-A613)*60)</f>
        <v/>
      </c>
      <c r="E614" s="20">
        <f>IF(OR(D614="",$B$18=""),"",D614/$B$18)</f>
        <v/>
      </c>
      <c r="F614" s="29">
        <f>IF(OR(C614="",$B$18=""),"",C614*60/$B$18)</f>
        <v/>
      </c>
    </row>
    <row r="615">
      <c r="A615" s="26" t="n"/>
      <c r="B615" s="44" t="n"/>
      <c r="C615" s="45">
        <f>IF(B615="","",$B$15*(B615-$B$14))</f>
        <v/>
      </c>
      <c r="D615" s="46">
        <f>IF(OR(A615="",C615="",D614="",C614=""),"",D614+(C614+C615)/2*(A615-A614)*60)</f>
        <v/>
      </c>
      <c r="E615" s="20">
        <f>IF(OR(D615="",$B$18=""),"",D615/$B$18)</f>
        <v/>
      </c>
      <c r="F615" s="29">
        <f>IF(OR(C615="",$B$18=""),"",C615*60/$B$18)</f>
        <v/>
      </c>
    </row>
    <row r="616">
      <c r="A616" s="26" t="n"/>
      <c r="B616" s="44" t="n"/>
      <c r="C616" s="45">
        <f>IF(B616="","",$B$15*(B616-$B$14))</f>
        <v/>
      </c>
      <c r="D616" s="46">
        <f>IF(OR(A616="",C616="",D615="",C615=""),"",D615+(C615+C616)/2*(A616-A615)*60)</f>
        <v/>
      </c>
      <c r="E616" s="20">
        <f>IF(OR(D616="",$B$18=""),"",D616/$B$18)</f>
        <v/>
      </c>
      <c r="F616" s="29">
        <f>IF(OR(C616="",$B$18=""),"",C616*60/$B$18)</f>
        <v/>
      </c>
    </row>
    <row r="617">
      <c r="A617" s="26" t="n"/>
      <c r="B617" s="44" t="n"/>
      <c r="C617" s="45">
        <f>IF(B617="","",$B$15*(B617-$B$14))</f>
        <v/>
      </c>
      <c r="D617" s="46">
        <f>IF(OR(A617="",C617="",D616="",C616=""),"",D616+(C616+C617)/2*(A617-A616)*60)</f>
        <v/>
      </c>
      <c r="E617" s="20">
        <f>IF(OR(D617="",$B$18=""),"",D617/$B$18)</f>
        <v/>
      </c>
      <c r="F617" s="29">
        <f>IF(OR(C617="",$B$18=""),"",C617*60/$B$18)</f>
        <v/>
      </c>
    </row>
    <row r="618">
      <c r="A618" s="26" t="n"/>
      <c r="B618" s="44" t="n"/>
      <c r="C618" s="45">
        <f>IF(B618="","",$B$15*(B618-$B$14))</f>
        <v/>
      </c>
      <c r="D618" s="46">
        <f>IF(OR(A618="",C618="",D617="",C617=""),"",D617+(C617+C618)/2*(A618-A617)*60)</f>
        <v/>
      </c>
      <c r="E618" s="20">
        <f>IF(OR(D618="",$B$18=""),"",D618/$B$18)</f>
        <v/>
      </c>
      <c r="F618" s="29">
        <f>IF(OR(C618="",$B$18=""),"",C618*60/$B$18)</f>
        <v/>
      </c>
    </row>
    <row r="619">
      <c r="A619" s="26" t="n"/>
      <c r="B619" s="44" t="n"/>
      <c r="C619" s="45">
        <f>IF(B619="","",$B$15*(B619-$B$14))</f>
        <v/>
      </c>
      <c r="D619" s="46">
        <f>IF(OR(A619="",C619="",D618="",C618=""),"",D618+(C618+C619)/2*(A619-A618)*60)</f>
        <v/>
      </c>
      <c r="E619" s="20">
        <f>IF(OR(D619="",$B$18=""),"",D619/$B$18)</f>
        <v/>
      </c>
      <c r="F619" s="29">
        <f>IF(OR(C619="",$B$18=""),"",C619*60/$B$18)</f>
        <v/>
      </c>
    </row>
    <row r="620">
      <c r="A620" s="26" t="n"/>
      <c r="B620" s="44" t="n"/>
      <c r="C620" s="45">
        <f>IF(B620="","",$B$15*(B620-$B$14))</f>
        <v/>
      </c>
      <c r="D620" s="46">
        <f>IF(OR(A620="",C620="",D619="",C619=""),"",D619+(C619+C620)/2*(A620-A619)*60)</f>
        <v/>
      </c>
      <c r="E620" s="20">
        <f>IF(OR(D620="",$B$18=""),"",D620/$B$18)</f>
        <v/>
      </c>
      <c r="F620" s="29">
        <f>IF(OR(C620="",$B$18=""),"",C620*60/$B$18)</f>
        <v/>
      </c>
    </row>
    <row r="621">
      <c r="A621" s="26" t="n"/>
      <c r="B621" s="44" t="n"/>
      <c r="C621" s="45">
        <f>IF(B621="","",$B$15*(B621-$B$14))</f>
        <v/>
      </c>
      <c r="D621" s="46">
        <f>IF(OR(A621="",C621="",D620="",C620=""),"",D620+(C620+C621)/2*(A621-A620)*60)</f>
        <v/>
      </c>
      <c r="E621" s="20">
        <f>IF(OR(D621="",$B$18=""),"",D621/$B$18)</f>
        <v/>
      </c>
      <c r="F621" s="29">
        <f>IF(OR(C621="",$B$18=""),"",C621*60/$B$18)</f>
        <v/>
      </c>
    </row>
    <row r="622">
      <c r="A622" s="26" t="n"/>
      <c r="B622" s="44" t="n"/>
      <c r="C622" s="45">
        <f>IF(B622="","",$B$15*(B622-$B$14))</f>
        <v/>
      </c>
      <c r="D622" s="46">
        <f>IF(OR(A622="",C622="",D621="",C621=""),"",D621+(C621+C622)/2*(A622-A621)*60)</f>
        <v/>
      </c>
      <c r="E622" s="20">
        <f>IF(OR(D622="",$B$18=""),"",D622/$B$18)</f>
        <v/>
      </c>
      <c r="F622" s="29">
        <f>IF(OR(C622="",$B$18=""),"",C622*60/$B$18)</f>
        <v/>
      </c>
    </row>
    <row r="623">
      <c r="A623" s="26" t="n"/>
      <c r="B623" s="44" t="n"/>
      <c r="C623" s="45">
        <f>IF(B623="","",$B$15*(B623-$B$14))</f>
        <v/>
      </c>
      <c r="D623" s="46">
        <f>IF(OR(A623="",C623="",D622="",C622=""),"",D622+(C622+C623)/2*(A623-A622)*60)</f>
        <v/>
      </c>
      <c r="E623" s="20">
        <f>IF(OR(D623="",$B$18=""),"",D623/$B$18)</f>
        <v/>
      </c>
      <c r="F623" s="29">
        <f>IF(OR(C623="",$B$18=""),"",C623*60/$B$18)</f>
        <v/>
      </c>
    </row>
    <row r="624">
      <c r="A624" s="26" t="n"/>
      <c r="B624" s="44" t="n"/>
      <c r="C624" s="45">
        <f>IF(B624="","",$B$15*(B624-$B$14))</f>
        <v/>
      </c>
      <c r="D624" s="46">
        <f>IF(OR(A624="",C624="",D623="",C623=""),"",D623+(C623+C624)/2*(A624-A623)*60)</f>
        <v/>
      </c>
      <c r="E624" s="20">
        <f>IF(OR(D624="",$B$18=""),"",D624/$B$18)</f>
        <v/>
      </c>
      <c r="F624" s="29">
        <f>IF(OR(C624="",$B$18=""),"",C624*60/$B$18)</f>
        <v/>
      </c>
    </row>
    <row r="625">
      <c r="A625" s="26" t="n"/>
      <c r="B625" s="44" t="n"/>
      <c r="C625" s="45">
        <f>IF(B625="","",$B$15*(B625-$B$14))</f>
        <v/>
      </c>
      <c r="D625" s="46">
        <f>IF(OR(A625="",C625="",D624="",C624=""),"",D624+(C624+C625)/2*(A625-A624)*60)</f>
        <v/>
      </c>
      <c r="E625" s="20">
        <f>IF(OR(D625="",$B$18=""),"",D625/$B$18)</f>
        <v/>
      </c>
      <c r="F625" s="29">
        <f>IF(OR(C625="",$B$18=""),"",C625*60/$B$18)</f>
        <v/>
      </c>
    </row>
    <row r="626">
      <c r="A626" s="26" t="n"/>
      <c r="B626" s="44" t="n"/>
      <c r="C626" s="45">
        <f>IF(B626="","",$B$15*(B626-$B$14))</f>
        <v/>
      </c>
      <c r="D626" s="46">
        <f>IF(OR(A626="",C626="",D625="",C625=""),"",D625+(C625+C626)/2*(A626-A625)*60)</f>
        <v/>
      </c>
      <c r="E626" s="20">
        <f>IF(OR(D626="",$B$18=""),"",D626/$B$18)</f>
        <v/>
      </c>
      <c r="F626" s="29">
        <f>IF(OR(C626="",$B$18=""),"",C626*60/$B$18)</f>
        <v/>
      </c>
    </row>
    <row r="627">
      <c r="A627" s="26" t="n"/>
      <c r="B627" s="44" t="n"/>
      <c r="C627" s="45">
        <f>IF(B627="","",$B$15*(B627-$B$14))</f>
        <v/>
      </c>
      <c r="D627" s="46">
        <f>IF(OR(A627="",C627="",D626="",C626=""),"",D626+(C626+C627)/2*(A627-A626)*60)</f>
        <v/>
      </c>
      <c r="E627" s="20">
        <f>IF(OR(D627="",$B$18=""),"",D627/$B$18)</f>
        <v/>
      </c>
      <c r="F627" s="29">
        <f>IF(OR(C627="",$B$18=""),"",C627*60/$B$18)</f>
        <v/>
      </c>
    </row>
    <row r="628">
      <c r="A628" s="26" t="n"/>
      <c r="B628" s="44" t="n"/>
      <c r="C628" s="45">
        <f>IF(B628="","",$B$15*(B628-$B$14))</f>
        <v/>
      </c>
      <c r="D628" s="46">
        <f>IF(OR(A628="",C628="",D627="",C627=""),"",D627+(C627+C628)/2*(A628-A627)*60)</f>
        <v/>
      </c>
      <c r="E628" s="20">
        <f>IF(OR(D628="",$B$18=""),"",D628/$B$18)</f>
        <v/>
      </c>
      <c r="F628" s="29">
        <f>IF(OR(C628="",$B$18=""),"",C628*60/$B$18)</f>
        <v/>
      </c>
    </row>
    <row r="629">
      <c r="A629" s="26" t="n"/>
      <c r="B629" s="44" t="n"/>
      <c r="C629" s="45">
        <f>IF(B629="","",$B$15*(B629-$B$14))</f>
        <v/>
      </c>
      <c r="D629" s="46">
        <f>IF(OR(A629="",C629="",D628="",C628=""),"",D628+(C628+C629)/2*(A629-A628)*60)</f>
        <v/>
      </c>
      <c r="E629" s="20">
        <f>IF(OR(D629="",$B$18=""),"",D629/$B$18)</f>
        <v/>
      </c>
      <c r="F629" s="29">
        <f>IF(OR(C629="",$B$18=""),"",C629*60/$B$18)</f>
        <v/>
      </c>
    </row>
    <row r="630">
      <c r="A630" s="26" t="n"/>
      <c r="B630" s="44" t="n"/>
      <c r="C630" s="45">
        <f>IF(B630="","",$B$15*(B630-$B$14))</f>
        <v/>
      </c>
      <c r="D630" s="46">
        <f>IF(OR(A630="",C630="",D629="",C629=""),"",D629+(C629+C630)/2*(A630-A629)*60)</f>
        <v/>
      </c>
      <c r="E630" s="20">
        <f>IF(OR(D630="",$B$18=""),"",D630/$B$18)</f>
        <v/>
      </c>
      <c r="F630" s="29">
        <f>IF(OR(C630="",$B$18=""),"",C630*60/$B$18)</f>
        <v/>
      </c>
    </row>
    <row r="631">
      <c r="A631" s="26" t="n"/>
      <c r="B631" s="44" t="n"/>
      <c r="C631" s="45">
        <f>IF(B631="","",$B$15*(B631-$B$14))</f>
        <v/>
      </c>
      <c r="D631" s="46">
        <f>IF(OR(A631="",C631="",D630="",C630=""),"",D630+(C630+C631)/2*(A631-A630)*60)</f>
        <v/>
      </c>
      <c r="E631" s="20">
        <f>IF(OR(D631="",$B$18=""),"",D631/$B$18)</f>
        <v/>
      </c>
      <c r="F631" s="29">
        <f>IF(OR(C631="",$B$18=""),"",C631*60/$B$18)</f>
        <v/>
      </c>
    </row>
    <row r="632">
      <c r="A632" s="26" t="n"/>
      <c r="B632" s="44" t="n"/>
      <c r="C632" s="45">
        <f>IF(B632="","",$B$15*(B632-$B$14))</f>
        <v/>
      </c>
      <c r="D632" s="46">
        <f>IF(OR(A632="",C632="",D631="",C631=""),"",D631+(C631+C632)/2*(A632-A631)*60)</f>
        <v/>
      </c>
      <c r="E632" s="20">
        <f>IF(OR(D632="",$B$18=""),"",D632/$B$18)</f>
        <v/>
      </c>
      <c r="F632" s="29">
        <f>IF(OR(C632="",$B$18=""),"",C632*60/$B$18)</f>
        <v/>
      </c>
    </row>
    <row r="633">
      <c r="A633" s="26" t="n"/>
      <c r="B633" s="44" t="n"/>
      <c r="C633" s="45">
        <f>IF(B633="","",$B$15*(B633-$B$14))</f>
        <v/>
      </c>
      <c r="D633" s="46">
        <f>IF(OR(A633="",C633="",D632="",C632=""),"",D632+(C632+C633)/2*(A633-A632)*60)</f>
        <v/>
      </c>
      <c r="E633" s="20">
        <f>IF(OR(D633="",$B$18=""),"",D633/$B$18)</f>
        <v/>
      </c>
      <c r="F633" s="29">
        <f>IF(OR(C633="",$B$18=""),"",C633*60/$B$18)</f>
        <v/>
      </c>
    </row>
    <row r="634">
      <c r="A634" s="26" t="n"/>
      <c r="B634" s="44" t="n"/>
      <c r="C634" s="45">
        <f>IF(B634="","",$B$15*(B634-$B$14))</f>
        <v/>
      </c>
      <c r="D634" s="46">
        <f>IF(OR(A634="",C634="",D633="",C633=""),"",D633+(C633+C634)/2*(A634-A633)*60)</f>
        <v/>
      </c>
      <c r="E634" s="20">
        <f>IF(OR(D634="",$B$18=""),"",D634/$B$18)</f>
        <v/>
      </c>
      <c r="F634" s="29">
        <f>IF(OR(C634="",$B$18=""),"",C634*60/$B$18)</f>
        <v/>
      </c>
    </row>
    <row r="635">
      <c r="A635" s="26" t="n"/>
      <c r="B635" s="44" t="n"/>
      <c r="C635" s="45">
        <f>IF(B635="","",$B$15*(B635-$B$14))</f>
        <v/>
      </c>
      <c r="D635" s="46">
        <f>IF(OR(A635="",C635="",D634="",C634=""),"",D634+(C634+C635)/2*(A635-A634)*60)</f>
        <v/>
      </c>
      <c r="E635" s="20">
        <f>IF(OR(D635="",$B$18=""),"",D635/$B$18)</f>
        <v/>
      </c>
      <c r="F635" s="29">
        <f>IF(OR(C635="",$B$18=""),"",C635*60/$B$18)</f>
        <v/>
      </c>
    </row>
    <row r="636">
      <c r="A636" s="26" t="n"/>
      <c r="B636" s="44" t="n"/>
      <c r="C636" s="45">
        <f>IF(B636="","",$B$15*(B636-$B$14))</f>
        <v/>
      </c>
      <c r="D636" s="46">
        <f>IF(OR(A636="",C636="",D635="",C635=""),"",D635+(C635+C636)/2*(A636-A635)*60)</f>
        <v/>
      </c>
      <c r="E636" s="20">
        <f>IF(OR(D636="",$B$18=""),"",D636/$B$18)</f>
        <v/>
      </c>
      <c r="F636" s="29">
        <f>IF(OR(C636="",$B$18=""),"",C636*60/$B$18)</f>
        <v/>
      </c>
    </row>
    <row r="637">
      <c r="A637" s="26" t="n"/>
      <c r="B637" s="44" t="n"/>
      <c r="C637" s="45">
        <f>IF(B637="","",$B$15*(B637-$B$14))</f>
        <v/>
      </c>
      <c r="D637" s="46">
        <f>IF(OR(A637="",C637="",D636="",C636=""),"",D636+(C636+C637)/2*(A637-A636)*60)</f>
        <v/>
      </c>
      <c r="E637" s="20">
        <f>IF(OR(D637="",$B$18=""),"",D637/$B$18)</f>
        <v/>
      </c>
      <c r="F637" s="29">
        <f>IF(OR(C637="",$B$18=""),"",C637*60/$B$18)</f>
        <v/>
      </c>
    </row>
    <row r="638">
      <c r="A638" s="26" t="n"/>
      <c r="B638" s="44" t="n"/>
      <c r="C638" s="45">
        <f>IF(B638="","",$B$15*(B638-$B$14))</f>
        <v/>
      </c>
      <c r="D638" s="46">
        <f>IF(OR(A638="",C638="",D637="",C637=""),"",D637+(C637+C638)/2*(A638-A637)*60)</f>
        <v/>
      </c>
      <c r="E638" s="20">
        <f>IF(OR(D638="",$B$18=""),"",D638/$B$18)</f>
        <v/>
      </c>
      <c r="F638" s="29">
        <f>IF(OR(C638="",$B$18=""),"",C638*60/$B$18)</f>
        <v/>
      </c>
    </row>
    <row r="639">
      <c r="A639" s="26" t="n"/>
      <c r="B639" s="44" t="n"/>
      <c r="C639" s="45">
        <f>IF(B639="","",$B$15*(B639-$B$14))</f>
        <v/>
      </c>
      <c r="D639" s="46">
        <f>IF(OR(A639="",C639="",D638="",C638=""),"",D638+(C638+C639)/2*(A639-A638)*60)</f>
        <v/>
      </c>
      <c r="E639" s="20">
        <f>IF(OR(D639="",$B$18=""),"",D639/$B$18)</f>
        <v/>
      </c>
      <c r="F639" s="29">
        <f>IF(OR(C639="",$B$18=""),"",C639*60/$B$18)</f>
        <v/>
      </c>
    </row>
    <row r="640">
      <c r="A640" s="26" t="n"/>
      <c r="B640" s="44" t="n"/>
      <c r="C640" s="45">
        <f>IF(B640="","",$B$15*(B640-$B$14))</f>
        <v/>
      </c>
      <c r="D640" s="46">
        <f>IF(OR(A640="",C640="",D639="",C639=""),"",D639+(C639+C640)/2*(A640-A639)*60)</f>
        <v/>
      </c>
      <c r="E640" s="20">
        <f>IF(OR(D640="",$B$18=""),"",D640/$B$18)</f>
        <v/>
      </c>
      <c r="F640" s="29">
        <f>IF(OR(C640="",$B$18=""),"",C640*60/$B$18)</f>
        <v/>
      </c>
    </row>
    <row r="641">
      <c r="A641" s="26" t="n"/>
      <c r="B641" s="44" t="n"/>
      <c r="C641" s="45">
        <f>IF(B641="","",$B$15*(B641-$B$14))</f>
        <v/>
      </c>
      <c r="D641" s="46">
        <f>IF(OR(A641="",C641="",D640="",C640=""),"",D640+(C640+C641)/2*(A641-A640)*60)</f>
        <v/>
      </c>
      <c r="E641" s="20">
        <f>IF(OR(D641="",$B$18=""),"",D641/$B$18)</f>
        <v/>
      </c>
      <c r="F641" s="29">
        <f>IF(OR(C641="",$B$18=""),"",C641*60/$B$18)</f>
        <v/>
      </c>
    </row>
    <row r="642">
      <c r="A642" s="26" t="n"/>
      <c r="B642" s="44" t="n"/>
      <c r="C642" s="45">
        <f>IF(B642="","",$B$15*(B642-$B$14))</f>
        <v/>
      </c>
      <c r="D642" s="46">
        <f>IF(OR(A642="",C642="",D641="",C641=""),"",D641+(C641+C642)/2*(A642-A641)*60)</f>
        <v/>
      </c>
      <c r="E642" s="20">
        <f>IF(OR(D642="",$B$18=""),"",D642/$B$18)</f>
        <v/>
      </c>
      <c r="F642" s="29">
        <f>IF(OR(C642="",$B$18=""),"",C642*60/$B$18)</f>
        <v/>
      </c>
    </row>
    <row r="643">
      <c r="A643" s="26" t="n"/>
      <c r="B643" s="44" t="n"/>
      <c r="C643" s="45">
        <f>IF(B643="","",$B$15*(B643-$B$14))</f>
        <v/>
      </c>
      <c r="D643" s="46">
        <f>IF(OR(A643="",C643="",D642="",C642=""),"",D642+(C642+C643)/2*(A643-A642)*60)</f>
        <v/>
      </c>
      <c r="E643" s="20">
        <f>IF(OR(D643="",$B$18=""),"",D643/$B$18)</f>
        <v/>
      </c>
      <c r="F643" s="29">
        <f>IF(OR(C643="",$B$18=""),"",C643*60/$B$18)</f>
        <v/>
      </c>
    </row>
    <row r="644">
      <c r="A644" s="26" t="n"/>
      <c r="B644" s="44" t="n"/>
      <c r="C644" s="45">
        <f>IF(B644="","",$B$15*(B644-$B$14))</f>
        <v/>
      </c>
      <c r="D644" s="46">
        <f>IF(OR(A644="",C644="",D643="",C643=""),"",D643+(C643+C644)/2*(A644-A643)*60)</f>
        <v/>
      </c>
      <c r="E644" s="20">
        <f>IF(OR(D644="",$B$18=""),"",D644/$B$18)</f>
        <v/>
      </c>
      <c r="F644" s="29">
        <f>IF(OR(C644="",$B$18=""),"",C644*60/$B$18)</f>
        <v/>
      </c>
    </row>
    <row r="645">
      <c r="A645" s="26" t="n"/>
      <c r="B645" s="44" t="n"/>
      <c r="C645" s="45">
        <f>IF(B645="","",$B$15*(B645-$B$14))</f>
        <v/>
      </c>
      <c r="D645" s="46">
        <f>IF(OR(A645="",C645="",D644="",C644=""),"",D644+(C644+C645)/2*(A645-A644)*60)</f>
        <v/>
      </c>
      <c r="E645" s="20">
        <f>IF(OR(D645="",$B$18=""),"",D645/$B$18)</f>
        <v/>
      </c>
      <c r="F645" s="29">
        <f>IF(OR(C645="",$B$18=""),"",C645*60/$B$18)</f>
        <v/>
      </c>
    </row>
    <row r="646">
      <c r="A646" s="26" t="n"/>
      <c r="B646" s="44" t="n"/>
      <c r="C646" s="45">
        <f>IF(B646="","",$B$15*(B646-$B$14))</f>
        <v/>
      </c>
      <c r="D646" s="46">
        <f>IF(OR(A646="",C646="",D645="",C645=""),"",D645+(C645+C646)/2*(A646-A645)*60)</f>
        <v/>
      </c>
      <c r="E646" s="20">
        <f>IF(OR(D646="",$B$18=""),"",D646/$B$18)</f>
        <v/>
      </c>
      <c r="F646" s="29">
        <f>IF(OR(C646="",$B$18=""),"",C646*60/$B$18)</f>
        <v/>
      </c>
    </row>
    <row r="647">
      <c r="A647" s="26" t="n"/>
      <c r="B647" s="44" t="n"/>
      <c r="C647" s="45">
        <f>IF(B647="","",$B$15*(B647-$B$14))</f>
        <v/>
      </c>
      <c r="D647" s="46">
        <f>IF(OR(A647="",C647="",D646="",C646=""),"",D646+(C646+C647)/2*(A647-A646)*60)</f>
        <v/>
      </c>
      <c r="E647" s="20">
        <f>IF(OR(D647="",$B$18=""),"",D647/$B$18)</f>
        <v/>
      </c>
      <c r="F647" s="29">
        <f>IF(OR(C647="",$B$18=""),"",C647*60/$B$18)</f>
        <v/>
      </c>
    </row>
    <row r="648">
      <c r="A648" s="26" t="n"/>
      <c r="B648" s="44" t="n"/>
      <c r="C648" s="45">
        <f>IF(B648="","",$B$15*(B648-$B$14))</f>
        <v/>
      </c>
      <c r="D648" s="46">
        <f>IF(OR(A648="",C648="",D647="",C647=""),"",D647+(C647+C648)/2*(A648-A647)*60)</f>
        <v/>
      </c>
      <c r="E648" s="20">
        <f>IF(OR(D648="",$B$18=""),"",D648/$B$18)</f>
        <v/>
      </c>
      <c r="F648" s="29">
        <f>IF(OR(C648="",$B$18=""),"",C648*60/$B$18)</f>
        <v/>
      </c>
    </row>
    <row r="649">
      <c r="A649" s="26" t="n"/>
      <c r="B649" s="44" t="n"/>
      <c r="C649" s="45">
        <f>IF(B649="","",$B$15*(B649-$B$14))</f>
        <v/>
      </c>
      <c r="D649" s="46">
        <f>IF(OR(A649="",C649="",D648="",C648=""),"",D648+(C648+C649)/2*(A649-A648)*60)</f>
        <v/>
      </c>
      <c r="E649" s="20">
        <f>IF(OR(D649="",$B$18=""),"",D649/$B$18)</f>
        <v/>
      </c>
      <c r="F649" s="29">
        <f>IF(OR(C649="",$B$18=""),"",C649*60/$B$18)</f>
        <v/>
      </c>
    </row>
    <row r="650">
      <c r="A650" s="26" t="n"/>
      <c r="B650" s="44" t="n"/>
      <c r="C650" s="45">
        <f>IF(B650="","",$B$15*(B650-$B$14))</f>
        <v/>
      </c>
      <c r="D650" s="46">
        <f>IF(OR(A650="",C650="",D649="",C649=""),"",D649+(C649+C650)/2*(A650-A649)*60)</f>
        <v/>
      </c>
      <c r="E650" s="20">
        <f>IF(OR(D650="",$B$18=""),"",D650/$B$18)</f>
        <v/>
      </c>
      <c r="F650" s="29">
        <f>IF(OR(C650="",$B$18=""),"",C650*60/$B$18)</f>
        <v/>
      </c>
    </row>
    <row r="651">
      <c r="A651" s="26" t="n"/>
      <c r="B651" s="44" t="n"/>
      <c r="C651" s="45">
        <f>IF(B651="","",$B$15*(B651-$B$14))</f>
        <v/>
      </c>
      <c r="D651" s="46">
        <f>IF(OR(A651="",C651="",D650="",C650=""),"",D650+(C650+C651)/2*(A651-A650)*60)</f>
        <v/>
      </c>
      <c r="E651" s="20">
        <f>IF(OR(D651="",$B$18=""),"",D651/$B$18)</f>
        <v/>
      </c>
      <c r="F651" s="29">
        <f>IF(OR(C651="",$B$18=""),"",C651*60/$B$18)</f>
        <v/>
      </c>
    </row>
    <row r="652">
      <c r="A652" s="26" t="n"/>
      <c r="B652" s="44" t="n"/>
      <c r="C652" s="45">
        <f>IF(B652="","",$B$15*(B652-$B$14))</f>
        <v/>
      </c>
      <c r="D652" s="46">
        <f>IF(OR(A652="",C652="",D651="",C651=""),"",D651+(C651+C652)/2*(A652-A651)*60)</f>
        <v/>
      </c>
      <c r="E652" s="20">
        <f>IF(OR(D652="",$B$18=""),"",D652/$B$18)</f>
        <v/>
      </c>
      <c r="F652" s="29">
        <f>IF(OR(C652="",$B$18=""),"",C652*60/$B$18)</f>
        <v/>
      </c>
    </row>
    <row r="653">
      <c r="A653" s="26" t="n"/>
      <c r="B653" s="44" t="n"/>
      <c r="C653" s="45">
        <f>IF(B653="","",$B$15*(B653-$B$14))</f>
        <v/>
      </c>
      <c r="D653" s="46">
        <f>IF(OR(A653="",C653="",D652="",C652=""),"",D652+(C652+C653)/2*(A653-A652)*60)</f>
        <v/>
      </c>
      <c r="E653" s="20">
        <f>IF(OR(D653="",$B$18=""),"",D653/$B$18)</f>
        <v/>
      </c>
      <c r="F653" s="29">
        <f>IF(OR(C653="",$B$18=""),"",C653*60/$B$18)</f>
        <v/>
      </c>
    </row>
    <row r="654">
      <c r="A654" s="26" t="n"/>
      <c r="B654" s="44" t="n"/>
      <c r="C654" s="45">
        <f>IF(B654="","",$B$15*(B654-$B$14))</f>
        <v/>
      </c>
      <c r="D654" s="46">
        <f>IF(OR(A654="",C654="",D653="",C653=""),"",D653+(C653+C654)/2*(A654-A653)*60)</f>
        <v/>
      </c>
      <c r="E654" s="20">
        <f>IF(OR(D654="",$B$18=""),"",D654/$B$18)</f>
        <v/>
      </c>
      <c r="F654" s="29">
        <f>IF(OR(C654="",$B$18=""),"",C654*60/$B$18)</f>
        <v/>
      </c>
    </row>
    <row r="655">
      <c r="A655" s="26" t="n"/>
      <c r="B655" s="44" t="n"/>
      <c r="C655" s="45">
        <f>IF(B655="","",$B$15*(B655-$B$14))</f>
        <v/>
      </c>
      <c r="D655" s="46">
        <f>IF(OR(A655="",C655="",D654="",C654=""),"",D654+(C654+C655)/2*(A655-A654)*60)</f>
        <v/>
      </c>
      <c r="E655" s="20">
        <f>IF(OR(D655="",$B$18=""),"",D655/$B$18)</f>
        <v/>
      </c>
      <c r="F655" s="29">
        <f>IF(OR(C655="",$B$18=""),"",C655*60/$B$18)</f>
        <v/>
      </c>
    </row>
    <row r="656">
      <c r="A656" s="26" t="n"/>
      <c r="B656" s="44" t="n"/>
      <c r="C656" s="45">
        <f>IF(B656="","",$B$15*(B656-$B$14))</f>
        <v/>
      </c>
      <c r="D656" s="46">
        <f>IF(OR(A656="",C656="",D655="",C655=""),"",D655+(C655+C656)/2*(A656-A655)*60)</f>
        <v/>
      </c>
      <c r="E656" s="20">
        <f>IF(OR(D656="",$B$18=""),"",D656/$B$18)</f>
        <v/>
      </c>
      <c r="F656" s="29">
        <f>IF(OR(C656="",$B$18=""),"",C656*60/$B$18)</f>
        <v/>
      </c>
    </row>
    <row r="657">
      <c r="A657" s="26" t="n"/>
      <c r="B657" s="44" t="n"/>
      <c r="C657" s="45">
        <f>IF(B657="","",$B$15*(B657-$B$14))</f>
        <v/>
      </c>
      <c r="D657" s="46">
        <f>IF(OR(A657="",C657="",D656="",C656=""),"",D656+(C656+C657)/2*(A657-A656)*60)</f>
        <v/>
      </c>
      <c r="E657" s="20">
        <f>IF(OR(D657="",$B$18=""),"",D657/$B$18)</f>
        <v/>
      </c>
      <c r="F657" s="29">
        <f>IF(OR(C657="",$B$18=""),"",C657*60/$B$18)</f>
        <v/>
      </c>
    </row>
    <row r="658">
      <c r="A658" s="26" t="n"/>
      <c r="B658" s="44" t="n"/>
      <c r="C658" s="45">
        <f>IF(B658="","",$B$15*(B658-$B$14))</f>
        <v/>
      </c>
      <c r="D658" s="46">
        <f>IF(OR(A658="",C658="",D657="",C657=""),"",D657+(C657+C658)/2*(A658-A657)*60)</f>
        <v/>
      </c>
      <c r="E658" s="20">
        <f>IF(OR(D658="",$B$18=""),"",D658/$B$18)</f>
        <v/>
      </c>
      <c r="F658" s="29">
        <f>IF(OR(C658="",$B$18=""),"",C658*60/$B$18)</f>
        <v/>
      </c>
    </row>
    <row r="659">
      <c r="A659" s="26" t="n"/>
      <c r="B659" s="44" t="n"/>
      <c r="C659" s="45">
        <f>IF(B659="","",$B$15*(B659-$B$14))</f>
        <v/>
      </c>
      <c r="D659" s="46">
        <f>IF(OR(A659="",C659="",D658="",C658=""),"",D658+(C658+C659)/2*(A659-A658)*60)</f>
        <v/>
      </c>
      <c r="E659" s="20">
        <f>IF(OR(D659="",$B$18=""),"",D659/$B$18)</f>
        <v/>
      </c>
      <c r="F659" s="29">
        <f>IF(OR(C659="",$B$18=""),"",C659*60/$B$18)</f>
        <v/>
      </c>
    </row>
    <row r="660">
      <c r="A660" s="26" t="n"/>
      <c r="B660" s="44" t="n"/>
      <c r="C660" s="45">
        <f>IF(B660="","",$B$15*(B660-$B$14))</f>
        <v/>
      </c>
      <c r="D660" s="46">
        <f>IF(OR(A660="",C660="",D659="",C659=""),"",D659+(C659+C660)/2*(A660-A659)*60)</f>
        <v/>
      </c>
      <c r="E660" s="20">
        <f>IF(OR(D660="",$B$18=""),"",D660/$B$18)</f>
        <v/>
      </c>
      <c r="F660" s="29">
        <f>IF(OR(C660="",$B$18=""),"",C660*60/$B$18)</f>
        <v/>
      </c>
    </row>
    <row r="661">
      <c r="A661" s="26" t="n"/>
      <c r="B661" s="44" t="n"/>
      <c r="C661" s="45">
        <f>IF(B661="","",$B$15*(B661-$B$14))</f>
        <v/>
      </c>
      <c r="D661" s="46">
        <f>IF(OR(A661="",C661="",D660="",C660=""),"",D660+(C660+C661)/2*(A661-A660)*60)</f>
        <v/>
      </c>
      <c r="E661" s="20">
        <f>IF(OR(D661="",$B$18=""),"",D661/$B$18)</f>
        <v/>
      </c>
      <c r="F661" s="29">
        <f>IF(OR(C661="",$B$18=""),"",C661*60/$B$18)</f>
        <v/>
      </c>
    </row>
    <row r="662">
      <c r="A662" s="26" t="n"/>
      <c r="B662" s="44" t="n"/>
      <c r="C662" s="45">
        <f>IF(B662="","",$B$15*(B662-$B$14))</f>
        <v/>
      </c>
      <c r="D662" s="46">
        <f>IF(OR(A662="",C662="",D661="",C661=""),"",D661+(C661+C662)/2*(A662-A661)*60)</f>
        <v/>
      </c>
      <c r="E662" s="20">
        <f>IF(OR(D662="",$B$18=""),"",D662/$B$18)</f>
        <v/>
      </c>
      <c r="F662" s="29">
        <f>IF(OR(C662="",$B$18=""),"",C662*60/$B$18)</f>
        <v/>
      </c>
    </row>
    <row r="663">
      <c r="A663" s="26" t="n"/>
      <c r="B663" s="44" t="n"/>
      <c r="C663" s="45">
        <f>IF(B663="","",$B$15*(B663-$B$14))</f>
        <v/>
      </c>
      <c r="D663" s="46">
        <f>IF(OR(A663="",C663="",D662="",C662=""),"",D662+(C662+C663)/2*(A663-A662)*60)</f>
        <v/>
      </c>
      <c r="E663" s="20">
        <f>IF(OR(D663="",$B$18=""),"",D663/$B$18)</f>
        <v/>
      </c>
      <c r="F663" s="29">
        <f>IF(OR(C663="",$B$18=""),"",C663*60/$B$18)</f>
        <v/>
      </c>
    </row>
    <row r="664">
      <c r="A664" s="26" t="n"/>
      <c r="B664" s="44" t="n"/>
      <c r="C664" s="45">
        <f>IF(B664="","",$B$15*(B664-$B$14))</f>
        <v/>
      </c>
      <c r="D664" s="46">
        <f>IF(OR(A664="",C664="",D663="",C663=""),"",D663+(C663+C664)/2*(A664-A663)*60)</f>
        <v/>
      </c>
      <c r="E664" s="20">
        <f>IF(OR(D664="",$B$18=""),"",D664/$B$18)</f>
        <v/>
      </c>
      <c r="F664" s="29">
        <f>IF(OR(C664="",$B$18=""),"",C664*60/$B$18)</f>
        <v/>
      </c>
    </row>
    <row r="665">
      <c r="A665" s="26" t="n"/>
      <c r="B665" s="44" t="n"/>
      <c r="C665" s="45">
        <f>IF(B665="","",$B$15*(B665-$B$14))</f>
        <v/>
      </c>
      <c r="D665" s="46">
        <f>IF(OR(A665="",C665="",D664="",C664=""),"",D664+(C664+C665)/2*(A665-A664)*60)</f>
        <v/>
      </c>
      <c r="E665" s="20">
        <f>IF(OR(D665="",$B$18=""),"",D665/$B$18)</f>
        <v/>
      </c>
      <c r="F665" s="29">
        <f>IF(OR(C665="",$B$18=""),"",C665*60/$B$18)</f>
        <v/>
      </c>
    </row>
    <row r="666">
      <c r="A666" s="26" t="n"/>
      <c r="B666" s="44" t="n"/>
      <c r="C666" s="45">
        <f>IF(B666="","",$B$15*(B666-$B$14))</f>
        <v/>
      </c>
      <c r="D666" s="46">
        <f>IF(OR(A666="",C666="",D665="",C665=""),"",D665+(C665+C666)/2*(A666-A665)*60)</f>
        <v/>
      </c>
      <c r="E666" s="20">
        <f>IF(OR(D666="",$B$18=""),"",D666/$B$18)</f>
        <v/>
      </c>
      <c r="F666" s="29">
        <f>IF(OR(C666="",$B$18=""),"",C666*60/$B$18)</f>
        <v/>
      </c>
    </row>
    <row r="667">
      <c r="A667" s="26" t="n"/>
      <c r="B667" s="44" t="n"/>
      <c r="C667" s="45">
        <f>IF(B667="","",$B$15*(B667-$B$14))</f>
        <v/>
      </c>
      <c r="D667" s="46">
        <f>IF(OR(A667="",C667="",D666="",C666=""),"",D666+(C666+C667)/2*(A667-A666)*60)</f>
        <v/>
      </c>
      <c r="E667" s="20">
        <f>IF(OR(D667="",$B$18=""),"",D667/$B$18)</f>
        <v/>
      </c>
      <c r="F667" s="29">
        <f>IF(OR(C667="",$B$18=""),"",C667*60/$B$18)</f>
        <v/>
      </c>
    </row>
    <row r="668">
      <c r="A668" s="26" t="n"/>
      <c r="B668" s="44" t="n"/>
      <c r="C668" s="45">
        <f>IF(B668="","",$B$15*(B668-$B$14))</f>
        <v/>
      </c>
      <c r="D668" s="46">
        <f>IF(OR(A668="",C668="",D667="",C667=""),"",D667+(C667+C668)/2*(A668-A667)*60)</f>
        <v/>
      </c>
      <c r="E668" s="20">
        <f>IF(OR(D668="",$B$18=""),"",D668/$B$18)</f>
        <v/>
      </c>
      <c r="F668" s="29">
        <f>IF(OR(C668="",$B$18=""),"",C668*60/$B$18)</f>
        <v/>
      </c>
    </row>
    <row r="669">
      <c r="A669" s="26" t="n"/>
      <c r="B669" s="44" t="n"/>
      <c r="C669" s="45">
        <f>IF(B669="","",$B$15*(B669-$B$14))</f>
        <v/>
      </c>
      <c r="D669" s="46">
        <f>IF(OR(A669="",C669="",D668="",C668=""),"",D668+(C668+C669)/2*(A669-A668)*60)</f>
        <v/>
      </c>
      <c r="E669" s="20">
        <f>IF(OR(D669="",$B$18=""),"",D669/$B$18)</f>
        <v/>
      </c>
      <c r="F669" s="29">
        <f>IF(OR(C669="",$B$18=""),"",C669*60/$B$18)</f>
        <v/>
      </c>
    </row>
    <row r="670">
      <c r="A670" s="26" t="n"/>
      <c r="B670" s="44" t="n"/>
      <c r="C670" s="45">
        <f>IF(B670="","",$B$15*(B670-$B$14))</f>
        <v/>
      </c>
      <c r="D670" s="46">
        <f>IF(OR(A670="",C670="",D669="",C669=""),"",D669+(C669+C670)/2*(A670-A669)*60)</f>
        <v/>
      </c>
      <c r="E670" s="20">
        <f>IF(OR(D670="",$B$18=""),"",D670/$B$18)</f>
        <v/>
      </c>
      <c r="F670" s="29">
        <f>IF(OR(C670="",$B$18=""),"",C670*60/$B$18)</f>
        <v/>
      </c>
    </row>
    <row r="671">
      <c r="A671" s="26" t="n"/>
      <c r="B671" s="44" t="n"/>
      <c r="C671" s="45">
        <f>IF(B671="","",$B$15*(B671-$B$14))</f>
        <v/>
      </c>
      <c r="D671" s="46">
        <f>IF(OR(A671="",C671="",D670="",C670=""),"",D670+(C670+C671)/2*(A671-A670)*60)</f>
        <v/>
      </c>
      <c r="E671" s="20">
        <f>IF(OR(D671="",$B$18=""),"",D671/$B$18)</f>
        <v/>
      </c>
      <c r="F671" s="29">
        <f>IF(OR(C671="",$B$18=""),"",C671*60/$B$18)</f>
        <v/>
      </c>
    </row>
    <row r="672">
      <c r="A672" s="26" t="n"/>
      <c r="B672" s="44" t="n"/>
      <c r="C672" s="45">
        <f>IF(B672="","",$B$15*(B672-$B$14))</f>
        <v/>
      </c>
      <c r="D672" s="46">
        <f>IF(OR(A672="",C672="",D671="",C671=""),"",D671+(C671+C672)/2*(A672-A671)*60)</f>
        <v/>
      </c>
      <c r="E672" s="20">
        <f>IF(OR(D672="",$B$18=""),"",D672/$B$18)</f>
        <v/>
      </c>
      <c r="F672" s="29">
        <f>IF(OR(C672="",$B$18=""),"",C672*60/$B$18)</f>
        <v/>
      </c>
    </row>
    <row r="673">
      <c r="A673" s="26" t="n"/>
      <c r="B673" s="44" t="n"/>
      <c r="C673" s="45">
        <f>IF(B673="","",$B$15*(B673-$B$14))</f>
        <v/>
      </c>
      <c r="D673" s="46">
        <f>IF(OR(A673="",C673="",D672="",C672=""),"",D672+(C672+C673)/2*(A673-A672)*60)</f>
        <v/>
      </c>
      <c r="E673" s="20">
        <f>IF(OR(D673="",$B$18=""),"",D673/$B$18)</f>
        <v/>
      </c>
      <c r="F673" s="29">
        <f>IF(OR(C673="",$B$18=""),"",C673*60/$B$18)</f>
        <v/>
      </c>
    </row>
    <row r="674">
      <c r="A674" s="26" t="n"/>
      <c r="B674" s="44" t="n"/>
      <c r="C674" s="45">
        <f>IF(B674="","",$B$15*(B674-$B$14))</f>
        <v/>
      </c>
      <c r="D674" s="46">
        <f>IF(OR(A674="",C674="",D673="",C673=""),"",D673+(C673+C674)/2*(A674-A673)*60)</f>
        <v/>
      </c>
      <c r="E674" s="20">
        <f>IF(OR(D674="",$B$18=""),"",D674/$B$18)</f>
        <v/>
      </c>
      <c r="F674" s="29">
        <f>IF(OR(C674="",$B$18=""),"",C674*60/$B$18)</f>
        <v/>
      </c>
    </row>
    <row r="675">
      <c r="A675" s="26" t="n"/>
      <c r="B675" s="44" t="n"/>
      <c r="C675" s="45">
        <f>IF(B675="","",$B$15*(B675-$B$14))</f>
        <v/>
      </c>
      <c r="D675" s="46">
        <f>IF(OR(A675="",C675="",D674="",C674=""),"",D674+(C674+C675)/2*(A675-A674)*60)</f>
        <v/>
      </c>
      <c r="E675" s="20">
        <f>IF(OR(D675="",$B$18=""),"",D675/$B$18)</f>
        <v/>
      </c>
      <c r="F675" s="29">
        <f>IF(OR(C675="",$B$18=""),"",C675*60/$B$18)</f>
        <v/>
      </c>
    </row>
    <row r="676">
      <c r="A676" s="26" t="n"/>
      <c r="B676" s="44" t="n"/>
      <c r="C676" s="45">
        <f>IF(B676="","",$B$15*(B676-$B$14))</f>
        <v/>
      </c>
      <c r="D676" s="46">
        <f>IF(OR(A676="",C676="",D675="",C675=""),"",D675+(C675+C676)/2*(A676-A675)*60)</f>
        <v/>
      </c>
      <c r="E676" s="20">
        <f>IF(OR(D676="",$B$18=""),"",D676/$B$18)</f>
        <v/>
      </c>
      <c r="F676" s="29">
        <f>IF(OR(C676="",$B$18=""),"",C676*60/$B$18)</f>
        <v/>
      </c>
    </row>
    <row r="677">
      <c r="A677" s="26" t="n"/>
      <c r="B677" s="44" t="n"/>
      <c r="C677" s="45">
        <f>IF(B677="","",$B$15*(B677-$B$14))</f>
        <v/>
      </c>
      <c r="D677" s="46">
        <f>IF(OR(A677="",C677="",D676="",C676=""),"",D676+(C676+C677)/2*(A677-A676)*60)</f>
        <v/>
      </c>
      <c r="E677" s="20">
        <f>IF(OR(D677="",$B$18=""),"",D677/$B$18)</f>
        <v/>
      </c>
      <c r="F677" s="29">
        <f>IF(OR(C677="",$B$18=""),"",C677*60/$B$18)</f>
        <v/>
      </c>
    </row>
    <row r="678">
      <c r="A678" s="26" t="n"/>
      <c r="B678" s="44" t="n"/>
      <c r="C678" s="45">
        <f>IF(B678="","",$B$15*(B678-$B$14))</f>
        <v/>
      </c>
      <c r="D678" s="46">
        <f>IF(OR(A678="",C678="",D677="",C677=""),"",D677+(C677+C678)/2*(A678-A677)*60)</f>
        <v/>
      </c>
      <c r="E678" s="20">
        <f>IF(OR(D678="",$B$18=""),"",D678/$B$18)</f>
        <v/>
      </c>
      <c r="F678" s="29">
        <f>IF(OR(C678="",$B$18=""),"",C678*60/$B$18)</f>
        <v/>
      </c>
    </row>
    <row r="679">
      <c r="A679" s="26" t="n"/>
      <c r="B679" s="44" t="n"/>
      <c r="C679" s="45">
        <f>IF(B679="","",$B$15*(B679-$B$14))</f>
        <v/>
      </c>
      <c r="D679" s="46">
        <f>IF(OR(A679="",C679="",D678="",C678=""),"",D678+(C678+C679)/2*(A679-A678)*60)</f>
        <v/>
      </c>
      <c r="E679" s="20">
        <f>IF(OR(D679="",$B$18=""),"",D679/$B$18)</f>
        <v/>
      </c>
      <c r="F679" s="29">
        <f>IF(OR(C679="",$B$18=""),"",C679*60/$B$18)</f>
        <v/>
      </c>
    </row>
    <row r="680">
      <c r="A680" s="26" t="n"/>
      <c r="B680" s="44" t="n"/>
      <c r="C680" s="45">
        <f>IF(B680="","",$B$15*(B680-$B$14))</f>
        <v/>
      </c>
      <c r="D680" s="46">
        <f>IF(OR(A680="",C680="",D679="",C679=""),"",D679+(C679+C680)/2*(A680-A679)*60)</f>
        <v/>
      </c>
      <c r="E680" s="20">
        <f>IF(OR(D680="",$B$18=""),"",D680/$B$18)</f>
        <v/>
      </c>
      <c r="F680" s="29">
        <f>IF(OR(C680="",$B$18=""),"",C680*60/$B$18)</f>
        <v/>
      </c>
    </row>
    <row r="681">
      <c r="A681" s="26" t="n"/>
      <c r="B681" s="44" t="n"/>
      <c r="C681" s="45">
        <f>IF(B681="","",$B$15*(B681-$B$14))</f>
        <v/>
      </c>
      <c r="D681" s="46">
        <f>IF(OR(A681="",C681="",D680="",C680=""),"",D680+(C680+C681)/2*(A681-A680)*60)</f>
        <v/>
      </c>
      <c r="E681" s="20">
        <f>IF(OR(D681="",$B$18=""),"",D681/$B$18)</f>
        <v/>
      </c>
      <c r="F681" s="29">
        <f>IF(OR(C681="",$B$18=""),"",C681*60/$B$18)</f>
        <v/>
      </c>
    </row>
    <row r="682">
      <c r="A682" s="26" t="n"/>
      <c r="B682" s="44" t="n"/>
      <c r="C682" s="45">
        <f>IF(B682="","",$B$15*(B682-$B$14))</f>
        <v/>
      </c>
      <c r="D682" s="46">
        <f>IF(OR(A682="",C682="",D681="",C681=""),"",D681+(C681+C682)/2*(A682-A681)*60)</f>
        <v/>
      </c>
      <c r="E682" s="20">
        <f>IF(OR(D682="",$B$18=""),"",D682/$B$18)</f>
        <v/>
      </c>
      <c r="F682" s="29">
        <f>IF(OR(C682="",$B$18=""),"",C682*60/$B$18)</f>
        <v/>
      </c>
    </row>
    <row r="683">
      <c r="A683" s="26" t="n"/>
      <c r="B683" s="44" t="n"/>
      <c r="C683" s="45">
        <f>IF(B683="","",$B$15*(B683-$B$14))</f>
        <v/>
      </c>
      <c r="D683" s="46">
        <f>IF(OR(A683="",C683="",D682="",C682=""),"",D682+(C682+C683)/2*(A683-A682)*60)</f>
        <v/>
      </c>
      <c r="E683" s="20">
        <f>IF(OR(D683="",$B$18=""),"",D683/$B$18)</f>
        <v/>
      </c>
      <c r="F683" s="29">
        <f>IF(OR(C683="",$B$18=""),"",C683*60/$B$18)</f>
        <v/>
      </c>
    </row>
    <row r="684">
      <c r="A684" s="26" t="n"/>
      <c r="B684" s="44" t="n"/>
      <c r="C684" s="45">
        <f>IF(B684="","",$B$15*(B684-$B$14))</f>
        <v/>
      </c>
      <c r="D684" s="46">
        <f>IF(OR(A684="",C684="",D683="",C683=""),"",D683+(C683+C684)/2*(A684-A683)*60)</f>
        <v/>
      </c>
      <c r="E684" s="20">
        <f>IF(OR(D684="",$B$18=""),"",D684/$B$18)</f>
        <v/>
      </c>
      <c r="F684" s="29">
        <f>IF(OR(C684="",$B$18=""),"",C684*60/$B$18)</f>
        <v/>
      </c>
    </row>
    <row r="685">
      <c r="A685" s="26" t="n"/>
      <c r="B685" s="44" t="n"/>
      <c r="C685" s="45">
        <f>IF(B685="","",$B$15*(B685-$B$14))</f>
        <v/>
      </c>
      <c r="D685" s="46">
        <f>IF(OR(A685="",C685="",D684="",C684=""),"",D684+(C684+C685)/2*(A685-A684)*60)</f>
        <v/>
      </c>
      <c r="E685" s="20">
        <f>IF(OR(D685="",$B$18=""),"",D685/$B$18)</f>
        <v/>
      </c>
      <c r="F685" s="29">
        <f>IF(OR(C685="",$B$18=""),"",C685*60/$B$18)</f>
        <v/>
      </c>
    </row>
    <row r="686">
      <c r="A686" s="26" t="n"/>
      <c r="B686" s="44" t="n"/>
      <c r="C686" s="45">
        <f>IF(B686="","",$B$15*(B686-$B$14))</f>
        <v/>
      </c>
      <c r="D686" s="46">
        <f>IF(OR(A686="",C686="",D685="",C685=""),"",D685+(C685+C686)/2*(A686-A685)*60)</f>
        <v/>
      </c>
      <c r="E686" s="20">
        <f>IF(OR(D686="",$B$18=""),"",D686/$B$18)</f>
        <v/>
      </c>
      <c r="F686" s="29">
        <f>IF(OR(C686="",$B$18=""),"",C686*60/$B$18)</f>
        <v/>
      </c>
    </row>
    <row r="687">
      <c r="A687" s="26" t="n"/>
      <c r="B687" s="44" t="n"/>
      <c r="C687" s="45">
        <f>IF(B687="","",$B$15*(B687-$B$14))</f>
        <v/>
      </c>
      <c r="D687" s="46">
        <f>IF(OR(A687="",C687="",D686="",C686=""),"",D686+(C686+C687)/2*(A687-A686)*60)</f>
        <v/>
      </c>
      <c r="E687" s="20">
        <f>IF(OR(D687="",$B$18=""),"",D687/$B$18)</f>
        <v/>
      </c>
      <c r="F687" s="29">
        <f>IF(OR(C687="",$B$18=""),"",C687*60/$B$18)</f>
        <v/>
      </c>
    </row>
    <row r="688">
      <c r="A688" s="26" t="n"/>
      <c r="B688" s="44" t="n"/>
      <c r="C688" s="45">
        <f>IF(B688="","",$B$15*(B688-$B$14))</f>
        <v/>
      </c>
      <c r="D688" s="46">
        <f>IF(OR(A688="",C688="",D687="",C687=""),"",D687+(C687+C688)/2*(A688-A687)*60)</f>
        <v/>
      </c>
      <c r="E688" s="20">
        <f>IF(OR(D688="",$B$18=""),"",D688/$B$18)</f>
        <v/>
      </c>
      <c r="F688" s="29">
        <f>IF(OR(C688="",$B$18=""),"",C688*60/$B$18)</f>
        <v/>
      </c>
    </row>
    <row r="689">
      <c r="A689" s="26" t="n"/>
      <c r="B689" s="44" t="n"/>
      <c r="C689" s="45">
        <f>IF(B689="","",$B$15*(B689-$B$14))</f>
        <v/>
      </c>
      <c r="D689" s="46">
        <f>IF(OR(A689="",C689="",D688="",C688=""),"",D688+(C688+C689)/2*(A689-A688)*60)</f>
        <v/>
      </c>
      <c r="E689" s="20">
        <f>IF(OR(D689="",$B$18=""),"",D689/$B$18)</f>
        <v/>
      </c>
      <c r="F689" s="29">
        <f>IF(OR(C689="",$B$18=""),"",C689*60/$B$18)</f>
        <v/>
      </c>
    </row>
    <row r="690">
      <c r="A690" s="26" t="n"/>
      <c r="B690" s="44" t="n"/>
      <c r="C690" s="45">
        <f>IF(B690="","",$B$15*(B690-$B$14))</f>
        <v/>
      </c>
      <c r="D690" s="46">
        <f>IF(OR(A690="",C690="",D689="",C689=""),"",D689+(C689+C690)/2*(A690-A689)*60)</f>
        <v/>
      </c>
      <c r="E690" s="20">
        <f>IF(OR(D690="",$B$18=""),"",D690/$B$18)</f>
        <v/>
      </c>
      <c r="F690" s="29">
        <f>IF(OR(C690="",$B$18=""),"",C690*60/$B$18)</f>
        <v/>
      </c>
    </row>
    <row r="691">
      <c r="A691" s="26" t="n"/>
      <c r="B691" s="44" t="n"/>
      <c r="C691" s="45">
        <f>IF(B691="","",$B$15*(B691-$B$14))</f>
        <v/>
      </c>
      <c r="D691" s="46">
        <f>IF(OR(A691="",C691="",D690="",C690=""),"",D690+(C690+C691)/2*(A691-A690)*60)</f>
        <v/>
      </c>
      <c r="E691" s="20">
        <f>IF(OR(D691="",$B$18=""),"",D691/$B$18)</f>
        <v/>
      </c>
      <c r="F691" s="29">
        <f>IF(OR(C691="",$B$18=""),"",C691*60/$B$18)</f>
        <v/>
      </c>
    </row>
    <row r="692">
      <c r="A692" s="26" t="n"/>
      <c r="B692" s="44" t="n"/>
      <c r="C692" s="45">
        <f>IF(B692="","",$B$15*(B692-$B$14))</f>
        <v/>
      </c>
      <c r="D692" s="46">
        <f>IF(OR(A692="",C692="",D691="",C691=""),"",D691+(C691+C692)/2*(A692-A691)*60)</f>
        <v/>
      </c>
      <c r="E692" s="20">
        <f>IF(OR(D692="",$B$18=""),"",D692/$B$18)</f>
        <v/>
      </c>
      <c r="F692" s="29">
        <f>IF(OR(C692="",$B$18=""),"",C692*60/$B$18)</f>
        <v/>
      </c>
    </row>
    <row r="693">
      <c r="A693" s="26" t="n"/>
      <c r="B693" s="44" t="n"/>
      <c r="C693" s="45">
        <f>IF(B693="","",$B$15*(B693-$B$14))</f>
        <v/>
      </c>
      <c r="D693" s="46">
        <f>IF(OR(A693="",C693="",D692="",C692=""),"",D692+(C692+C693)/2*(A693-A692)*60)</f>
        <v/>
      </c>
      <c r="E693" s="20">
        <f>IF(OR(D693="",$B$18=""),"",D693/$B$18)</f>
        <v/>
      </c>
      <c r="F693" s="29">
        <f>IF(OR(C693="",$B$18=""),"",C693*60/$B$18)</f>
        <v/>
      </c>
    </row>
    <row r="694">
      <c r="A694" s="26" t="n"/>
      <c r="B694" s="44" t="n"/>
      <c r="C694" s="45">
        <f>IF(B694="","",$B$15*(B694-$B$14))</f>
        <v/>
      </c>
      <c r="D694" s="46">
        <f>IF(OR(A694="",C694="",D693="",C693=""),"",D693+(C693+C694)/2*(A694-A693)*60)</f>
        <v/>
      </c>
      <c r="E694" s="20">
        <f>IF(OR(D694="",$B$18=""),"",D694/$B$18)</f>
        <v/>
      </c>
      <c r="F694" s="29">
        <f>IF(OR(C694="",$B$18=""),"",C694*60/$B$18)</f>
        <v/>
      </c>
    </row>
    <row r="695">
      <c r="A695" s="26" t="n"/>
      <c r="B695" s="44" t="n"/>
      <c r="C695" s="45">
        <f>IF(B695="","",$B$15*(B695-$B$14))</f>
        <v/>
      </c>
      <c r="D695" s="46">
        <f>IF(OR(A695="",C695="",D694="",C694=""),"",D694+(C694+C695)/2*(A695-A694)*60)</f>
        <v/>
      </c>
      <c r="E695" s="20">
        <f>IF(OR(D695="",$B$18=""),"",D695/$B$18)</f>
        <v/>
      </c>
      <c r="F695" s="29">
        <f>IF(OR(C695="",$B$18=""),"",C695*60/$B$18)</f>
        <v/>
      </c>
    </row>
    <row r="696">
      <c r="A696" s="26" t="n"/>
      <c r="B696" s="44" t="n"/>
      <c r="C696" s="45">
        <f>IF(B696="","",$B$15*(B696-$B$14))</f>
        <v/>
      </c>
      <c r="D696" s="46">
        <f>IF(OR(A696="",C696="",D695="",C695=""),"",D695+(C695+C696)/2*(A696-A695)*60)</f>
        <v/>
      </c>
      <c r="E696" s="20">
        <f>IF(OR(D696="",$B$18=""),"",D696/$B$18)</f>
        <v/>
      </c>
      <c r="F696" s="29">
        <f>IF(OR(C696="",$B$18=""),"",C696*60/$B$18)</f>
        <v/>
      </c>
    </row>
    <row r="697">
      <c r="A697" s="26" t="n"/>
      <c r="B697" s="44" t="n"/>
      <c r="C697" s="45">
        <f>IF(B697="","",$B$15*(B697-$B$14))</f>
        <v/>
      </c>
      <c r="D697" s="46">
        <f>IF(OR(A697="",C697="",D696="",C696=""),"",D696+(C696+C697)/2*(A697-A696)*60)</f>
        <v/>
      </c>
      <c r="E697" s="20">
        <f>IF(OR(D697="",$B$18=""),"",D697/$B$18)</f>
        <v/>
      </c>
      <c r="F697" s="29">
        <f>IF(OR(C697="",$B$18=""),"",C697*60/$B$18)</f>
        <v/>
      </c>
    </row>
    <row r="698">
      <c r="A698" s="26" t="n"/>
      <c r="B698" s="44" t="n"/>
      <c r="C698" s="45">
        <f>IF(B698="","",$B$15*(B698-$B$14))</f>
        <v/>
      </c>
      <c r="D698" s="46">
        <f>IF(OR(A698="",C698="",D697="",C697=""),"",D697+(C697+C698)/2*(A698-A697)*60)</f>
        <v/>
      </c>
      <c r="E698" s="20">
        <f>IF(OR(D698="",$B$18=""),"",D698/$B$18)</f>
        <v/>
      </c>
      <c r="F698" s="29">
        <f>IF(OR(C698="",$B$18=""),"",C698*60/$B$18)</f>
        <v/>
      </c>
    </row>
    <row r="699">
      <c r="A699" s="26" t="n"/>
      <c r="B699" s="44" t="n"/>
      <c r="C699" s="45">
        <f>IF(B699="","",$B$15*(B699-$B$14))</f>
        <v/>
      </c>
      <c r="D699" s="46">
        <f>IF(OR(A699="",C699="",D698="",C698=""),"",D698+(C698+C699)/2*(A699-A698)*60)</f>
        <v/>
      </c>
      <c r="E699" s="20">
        <f>IF(OR(D699="",$B$18=""),"",D699/$B$18)</f>
        <v/>
      </c>
      <c r="F699" s="29">
        <f>IF(OR(C699="",$B$18=""),"",C699*60/$B$18)</f>
        <v/>
      </c>
    </row>
    <row r="700">
      <c r="A700" s="26" t="n"/>
      <c r="B700" s="44" t="n"/>
      <c r="C700" s="45">
        <f>IF(B700="","",$B$15*(B700-$B$14))</f>
        <v/>
      </c>
      <c r="D700" s="46">
        <f>IF(OR(A700="",C700="",D699="",C699=""),"",D699+(C699+C700)/2*(A700-A699)*60)</f>
        <v/>
      </c>
      <c r="E700" s="20">
        <f>IF(OR(D700="",$B$18=""),"",D700/$B$18)</f>
        <v/>
      </c>
      <c r="F700" s="29">
        <f>IF(OR(C700="",$B$18=""),"",C700*60/$B$18)</f>
        <v/>
      </c>
    </row>
    <row r="701">
      <c r="A701" s="26" t="n"/>
      <c r="B701" s="44" t="n"/>
      <c r="C701" s="45">
        <f>IF(B701="","",$B$15*(B701-$B$14))</f>
        <v/>
      </c>
      <c r="D701" s="46">
        <f>IF(OR(A701="",C701="",D700="",C700=""),"",D700+(C700+C701)/2*(A701-A700)*60)</f>
        <v/>
      </c>
      <c r="E701" s="20">
        <f>IF(OR(D701="",$B$18=""),"",D701/$B$18)</f>
        <v/>
      </c>
      <c r="F701" s="29">
        <f>IF(OR(C701="",$B$18=""),"",C701*60/$B$18)</f>
        <v/>
      </c>
    </row>
    <row r="702">
      <c r="A702" s="26" t="n"/>
      <c r="B702" s="44" t="n"/>
      <c r="C702" s="45">
        <f>IF(B702="","",$B$15*(B702-$B$14))</f>
        <v/>
      </c>
      <c r="D702" s="46">
        <f>IF(OR(A702="",C702="",D701="",C701=""),"",D701+(C701+C702)/2*(A702-A701)*60)</f>
        <v/>
      </c>
      <c r="E702" s="20">
        <f>IF(OR(D702="",$B$18=""),"",D702/$B$18)</f>
        <v/>
      </c>
      <c r="F702" s="29">
        <f>IF(OR(C702="",$B$18=""),"",C702*60/$B$18)</f>
        <v/>
      </c>
    </row>
    <row r="703">
      <c r="A703" s="26" t="n"/>
      <c r="B703" s="44" t="n"/>
      <c r="C703" s="45">
        <f>IF(B703="","",$B$15*(B703-$B$14))</f>
        <v/>
      </c>
      <c r="D703" s="46">
        <f>IF(OR(A703="",C703="",D702="",C702=""),"",D702+(C702+C703)/2*(A703-A702)*60)</f>
        <v/>
      </c>
      <c r="E703" s="20">
        <f>IF(OR(D703="",$B$18=""),"",D703/$B$18)</f>
        <v/>
      </c>
      <c r="F703" s="29">
        <f>IF(OR(C703="",$B$18=""),"",C703*60/$B$18)</f>
        <v/>
      </c>
    </row>
    <row r="704">
      <c r="A704" s="26" t="n"/>
      <c r="B704" s="44" t="n"/>
      <c r="C704" s="45">
        <f>IF(B704="","",$B$15*(B704-$B$14))</f>
        <v/>
      </c>
      <c r="D704" s="46">
        <f>IF(OR(A704="",C704="",D703="",C703=""),"",D703+(C703+C704)/2*(A704-A703)*60)</f>
        <v/>
      </c>
      <c r="E704" s="20">
        <f>IF(OR(D704="",$B$18=""),"",D704/$B$18)</f>
        <v/>
      </c>
      <c r="F704" s="29">
        <f>IF(OR(C704="",$B$18=""),"",C704*60/$B$18)</f>
        <v/>
      </c>
    </row>
    <row r="705">
      <c r="A705" s="26" t="n"/>
      <c r="B705" s="44" t="n"/>
      <c r="C705" s="45">
        <f>IF(B705="","",$B$15*(B705-$B$14))</f>
        <v/>
      </c>
      <c r="D705" s="46">
        <f>IF(OR(A705="",C705="",D704="",C704=""),"",D704+(C704+C705)/2*(A705-A704)*60)</f>
        <v/>
      </c>
      <c r="E705" s="20">
        <f>IF(OR(D705="",$B$18=""),"",D705/$B$18)</f>
        <v/>
      </c>
      <c r="F705" s="29">
        <f>IF(OR(C705="",$B$18=""),"",C705*60/$B$18)</f>
        <v/>
      </c>
    </row>
    <row r="706">
      <c r="A706" s="26" t="n"/>
      <c r="B706" s="44" t="n"/>
      <c r="C706" s="45">
        <f>IF(B706="","",$B$15*(B706-$B$14))</f>
        <v/>
      </c>
      <c r="D706" s="46">
        <f>IF(OR(A706="",C706="",D705="",C705=""),"",D705+(C705+C706)/2*(A706-A705)*60)</f>
        <v/>
      </c>
      <c r="E706" s="20">
        <f>IF(OR(D706="",$B$18=""),"",D706/$B$18)</f>
        <v/>
      </c>
      <c r="F706" s="29">
        <f>IF(OR(C706="",$B$18=""),"",C706*60/$B$18)</f>
        <v/>
      </c>
    </row>
    <row r="707">
      <c r="A707" s="26" t="n"/>
      <c r="B707" s="44" t="n"/>
      <c r="C707" s="45">
        <f>IF(B707="","",$B$15*(B707-$B$14))</f>
        <v/>
      </c>
      <c r="D707" s="46">
        <f>IF(OR(A707="",C707="",D706="",C706=""),"",D706+(C706+C707)/2*(A707-A706)*60)</f>
        <v/>
      </c>
      <c r="E707" s="20">
        <f>IF(OR(D707="",$B$18=""),"",D707/$B$18)</f>
        <v/>
      </c>
      <c r="F707" s="29">
        <f>IF(OR(C707="",$B$18=""),"",C707*60/$B$18)</f>
        <v/>
      </c>
    </row>
    <row r="708">
      <c r="A708" s="26" t="n"/>
      <c r="B708" s="44" t="n"/>
      <c r="C708" s="45">
        <f>IF(B708="","",$B$15*(B708-$B$14))</f>
        <v/>
      </c>
      <c r="D708" s="46">
        <f>IF(OR(A708="",C708="",D707="",C707=""),"",D707+(C707+C708)/2*(A708-A707)*60)</f>
        <v/>
      </c>
      <c r="E708" s="20">
        <f>IF(OR(D708="",$B$18=""),"",D708/$B$18)</f>
        <v/>
      </c>
      <c r="F708" s="29">
        <f>IF(OR(C708="",$B$18=""),"",C708*60/$B$18)</f>
        <v/>
      </c>
    </row>
    <row r="709">
      <c r="A709" s="26" t="n"/>
      <c r="B709" s="44" t="n"/>
      <c r="C709" s="45">
        <f>IF(B709="","",$B$15*(B709-$B$14))</f>
        <v/>
      </c>
      <c r="D709" s="46">
        <f>IF(OR(A709="",C709="",D708="",C708=""),"",D708+(C708+C709)/2*(A709-A708)*60)</f>
        <v/>
      </c>
      <c r="E709" s="20">
        <f>IF(OR(D709="",$B$18=""),"",D709/$B$18)</f>
        <v/>
      </c>
      <c r="F709" s="29">
        <f>IF(OR(C709="",$B$18=""),"",C709*60/$B$18)</f>
        <v/>
      </c>
    </row>
    <row r="710">
      <c r="A710" s="26" t="n"/>
      <c r="B710" s="44" t="n"/>
      <c r="C710" s="45">
        <f>IF(B710="","",$B$15*(B710-$B$14))</f>
        <v/>
      </c>
      <c r="D710" s="46">
        <f>IF(OR(A710="",C710="",D709="",C709=""),"",D709+(C709+C710)/2*(A710-A709)*60)</f>
        <v/>
      </c>
      <c r="E710" s="20">
        <f>IF(OR(D710="",$B$18=""),"",D710/$B$18)</f>
        <v/>
      </c>
      <c r="F710" s="29">
        <f>IF(OR(C710="",$B$18=""),"",C710*60/$B$18)</f>
        <v/>
      </c>
    </row>
    <row r="711">
      <c r="A711" s="26" t="n"/>
      <c r="B711" s="44" t="n"/>
      <c r="C711" s="45">
        <f>IF(B711="","",$B$15*(B711-$B$14))</f>
        <v/>
      </c>
      <c r="D711" s="46">
        <f>IF(OR(A711="",C711="",D710="",C710=""),"",D710+(C710+C711)/2*(A711-A710)*60)</f>
        <v/>
      </c>
      <c r="E711" s="20">
        <f>IF(OR(D711="",$B$18=""),"",D711/$B$18)</f>
        <v/>
      </c>
      <c r="F711" s="29">
        <f>IF(OR(C711="",$B$18=""),"",C711*60/$B$18)</f>
        <v/>
      </c>
    </row>
    <row r="712">
      <c r="A712" s="26" t="n"/>
      <c r="B712" s="44" t="n"/>
      <c r="C712" s="45">
        <f>IF(B712="","",$B$15*(B712-$B$14))</f>
        <v/>
      </c>
      <c r="D712" s="46">
        <f>IF(OR(A712="",C712="",D711="",C711=""),"",D711+(C711+C712)/2*(A712-A711)*60)</f>
        <v/>
      </c>
      <c r="E712" s="20">
        <f>IF(OR(D712="",$B$18=""),"",D712/$B$18)</f>
        <v/>
      </c>
      <c r="F712" s="29">
        <f>IF(OR(C712="",$B$18=""),"",C712*60/$B$18)</f>
        <v/>
      </c>
    </row>
    <row r="713">
      <c r="A713" s="26" t="n"/>
      <c r="B713" s="44" t="n"/>
      <c r="C713" s="45">
        <f>IF(B713="","",$B$15*(B713-$B$14))</f>
        <v/>
      </c>
      <c r="D713" s="46">
        <f>IF(OR(A713="",C713="",D712="",C712=""),"",D712+(C712+C713)/2*(A713-A712)*60)</f>
        <v/>
      </c>
      <c r="E713" s="20">
        <f>IF(OR(D713="",$B$18=""),"",D713/$B$18)</f>
        <v/>
      </c>
      <c r="F713" s="29">
        <f>IF(OR(C713="",$B$18=""),"",C713*60/$B$18)</f>
        <v/>
      </c>
    </row>
    <row r="714">
      <c r="A714" s="26" t="n"/>
      <c r="B714" s="44" t="n"/>
      <c r="C714" s="45">
        <f>IF(B714="","",$B$15*(B714-$B$14))</f>
        <v/>
      </c>
      <c r="D714" s="46">
        <f>IF(OR(A714="",C714="",D713="",C713=""),"",D713+(C713+C714)/2*(A714-A713)*60)</f>
        <v/>
      </c>
      <c r="E714" s="20">
        <f>IF(OR(D714="",$B$18=""),"",D714/$B$18)</f>
        <v/>
      </c>
      <c r="F714" s="29">
        <f>IF(OR(C714="",$B$18=""),"",C714*60/$B$18)</f>
        <v/>
      </c>
    </row>
    <row r="715">
      <c r="A715" s="26" t="n"/>
      <c r="B715" s="44" t="n"/>
      <c r="C715" s="45">
        <f>IF(B715="","",$B$15*(B715-$B$14))</f>
        <v/>
      </c>
      <c r="D715" s="46">
        <f>IF(OR(A715="",C715="",D714="",C714=""),"",D714+(C714+C715)/2*(A715-A714)*60)</f>
        <v/>
      </c>
      <c r="E715" s="20">
        <f>IF(OR(D715="",$B$18=""),"",D715/$B$18)</f>
        <v/>
      </c>
      <c r="F715" s="29">
        <f>IF(OR(C715="",$B$18=""),"",C715*60/$B$18)</f>
        <v/>
      </c>
    </row>
    <row r="716">
      <c r="A716" s="26" t="n"/>
      <c r="B716" s="44" t="n"/>
      <c r="C716" s="45">
        <f>IF(B716="","",$B$15*(B716-$B$14))</f>
        <v/>
      </c>
      <c r="D716" s="46">
        <f>IF(OR(A716="",C716="",D715="",C715=""),"",D715+(C715+C716)/2*(A716-A715)*60)</f>
        <v/>
      </c>
      <c r="E716" s="20">
        <f>IF(OR(D716="",$B$18=""),"",D716/$B$18)</f>
        <v/>
      </c>
      <c r="F716" s="29">
        <f>IF(OR(C716="",$B$18=""),"",C716*60/$B$18)</f>
        <v/>
      </c>
    </row>
    <row r="717">
      <c r="A717" s="26" t="n"/>
      <c r="B717" s="44" t="n"/>
      <c r="C717" s="45">
        <f>IF(B717="","",$B$15*(B717-$B$14))</f>
        <v/>
      </c>
      <c r="D717" s="46">
        <f>IF(OR(A717="",C717="",D716="",C716=""),"",D716+(C716+C717)/2*(A717-A716)*60)</f>
        <v/>
      </c>
      <c r="E717" s="20">
        <f>IF(OR(D717="",$B$18=""),"",D717/$B$18)</f>
        <v/>
      </c>
      <c r="F717" s="29">
        <f>IF(OR(C717="",$B$18=""),"",C717*60/$B$18)</f>
        <v/>
      </c>
    </row>
    <row r="718">
      <c r="A718" s="26" t="n"/>
      <c r="B718" s="44" t="n"/>
      <c r="C718" s="45">
        <f>IF(B718="","",$B$15*(B718-$B$14))</f>
        <v/>
      </c>
      <c r="D718" s="46">
        <f>IF(OR(A718="",C718="",D717="",C717=""),"",D717+(C717+C718)/2*(A718-A717)*60)</f>
        <v/>
      </c>
      <c r="E718" s="20">
        <f>IF(OR(D718="",$B$18=""),"",D718/$B$18)</f>
        <v/>
      </c>
      <c r="F718" s="29">
        <f>IF(OR(C718="",$B$18=""),"",C718*60/$B$18)</f>
        <v/>
      </c>
    </row>
    <row r="719">
      <c r="A719" s="26" t="n"/>
      <c r="B719" s="44" t="n"/>
      <c r="C719" s="45">
        <f>IF(B719="","",$B$15*(B719-$B$14))</f>
        <v/>
      </c>
      <c r="D719" s="46">
        <f>IF(OR(A719="",C719="",D718="",C718=""),"",D718+(C718+C719)/2*(A719-A718)*60)</f>
        <v/>
      </c>
      <c r="E719" s="20">
        <f>IF(OR(D719="",$B$18=""),"",D719/$B$18)</f>
        <v/>
      </c>
      <c r="F719" s="29">
        <f>IF(OR(C719="",$B$18=""),"",C719*60/$B$18)</f>
        <v/>
      </c>
    </row>
    <row r="720">
      <c r="A720" s="26" t="n"/>
      <c r="B720" s="44" t="n"/>
      <c r="C720" s="45">
        <f>IF(B720="","",$B$15*(B720-$B$14))</f>
        <v/>
      </c>
      <c r="D720" s="46">
        <f>IF(OR(A720="",C720="",D719="",C719=""),"",D719+(C719+C720)/2*(A720-A719)*60)</f>
        <v/>
      </c>
      <c r="E720" s="20">
        <f>IF(OR(D720="",$B$18=""),"",D720/$B$18)</f>
        <v/>
      </c>
      <c r="F720" s="29">
        <f>IF(OR(C720="",$B$18=""),"",C720*60/$B$18)</f>
        <v/>
      </c>
    </row>
    <row r="721">
      <c r="A721" s="26" t="n"/>
      <c r="B721" s="44" t="n"/>
      <c r="C721" s="45">
        <f>IF(B721="","",$B$15*(B721-$B$14))</f>
        <v/>
      </c>
      <c r="D721" s="46">
        <f>IF(OR(A721="",C721="",D720="",C720=""),"",D720+(C720+C721)/2*(A721-A720)*60)</f>
        <v/>
      </c>
      <c r="E721" s="20">
        <f>IF(OR(D721="",$B$18=""),"",D721/$B$18)</f>
        <v/>
      </c>
      <c r="F721" s="29">
        <f>IF(OR(C721="",$B$18=""),"",C721*60/$B$18)</f>
        <v/>
      </c>
    </row>
    <row r="722">
      <c r="A722" s="26" t="n"/>
      <c r="B722" s="44" t="n"/>
      <c r="C722" s="45">
        <f>IF(B722="","",$B$15*(B722-$B$14))</f>
        <v/>
      </c>
      <c r="D722" s="46">
        <f>IF(OR(A722="",C722="",D721="",C721=""),"",D721+(C721+C722)/2*(A722-A721)*60)</f>
        <v/>
      </c>
      <c r="E722" s="20">
        <f>IF(OR(D722="",$B$18=""),"",D722/$B$18)</f>
        <v/>
      </c>
      <c r="F722" s="29">
        <f>IF(OR(C722="",$B$18=""),"",C722*60/$B$18)</f>
        <v/>
      </c>
    </row>
    <row r="723">
      <c r="A723" s="26" t="n"/>
      <c r="B723" s="44" t="n"/>
      <c r="C723" s="45">
        <f>IF(B723="","",$B$15*(B723-$B$14))</f>
        <v/>
      </c>
      <c r="D723" s="46">
        <f>IF(OR(A723="",C723="",D722="",C722=""),"",D722+(C722+C723)/2*(A723-A722)*60)</f>
        <v/>
      </c>
      <c r="E723" s="20">
        <f>IF(OR(D723="",$B$18=""),"",D723/$B$18)</f>
        <v/>
      </c>
      <c r="F723" s="29">
        <f>IF(OR(C723="",$B$18=""),"",C723*60/$B$18)</f>
        <v/>
      </c>
    </row>
    <row r="724">
      <c r="A724" s="26" t="n"/>
      <c r="B724" s="44" t="n"/>
      <c r="C724" s="45">
        <f>IF(B724="","",$B$15*(B724-$B$14))</f>
        <v/>
      </c>
      <c r="D724" s="46">
        <f>IF(OR(A724="",C724="",D723="",C723=""),"",D723+(C723+C724)/2*(A724-A723)*60)</f>
        <v/>
      </c>
      <c r="E724" s="20">
        <f>IF(OR(D724="",$B$18=""),"",D724/$B$18)</f>
        <v/>
      </c>
      <c r="F724" s="29">
        <f>IF(OR(C724="",$B$18=""),"",C724*60/$B$18)</f>
        <v/>
      </c>
    </row>
    <row r="725">
      <c r="A725" s="26" t="n"/>
      <c r="B725" s="44" t="n"/>
      <c r="C725" s="45">
        <f>IF(B725="","",$B$15*(B725-$B$14))</f>
        <v/>
      </c>
      <c r="D725" s="46">
        <f>IF(OR(A725="",C725="",D724="",C724=""),"",D724+(C724+C725)/2*(A725-A724)*60)</f>
        <v/>
      </c>
      <c r="E725" s="20">
        <f>IF(OR(D725="",$B$18=""),"",D725/$B$18)</f>
        <v/>
      </c>
      <c r="F725" s="29">
        <f>IF(OR(C725="",$B$18=""),"",C725*60/$B$18)</f>
        <v/>
      </c>
    </row>
    <row r="726">
      <c r="A726" s="26" t="n"/>
      <c r="B726" s="44" t="n"/>
      <c r="C726" s="45">
        <f>IF(B726="","",$B$15*(B726-$B$14))</f>
        <v/>
      </c>
      <c r="D726" s="46">
        <f>IF(OR(A726="",C726="",D725="",C725=""),"",D725+(C725+C726)/2*(A726-A725)*60)</f>
        <v/>
      </c>
      <c r="E726" s="20">
        <f>IF(OR(D726="",$B$18=""),"",D726/$B$18)</f>
        <v/>
      </c>
      <c r="F726" s="29">
        <f>IF(OR(C726="",$B$18=""),"",C726*60/$B$18)</f>
        <v/>
      </c>
    </row>
    <row r="727">
      <c r="A727" s="26" t="n"/>
      <c r="B727" s="44" t="n"/>
      <c r="C727" s="45">
        <f>IF(B727="","",$B$15*(B727-$B$14))</f>
        <v/>
      </c>
      <c r="D727" s="46">
        <f>IF(OR(A727="",C727="",D726="",C726=""),"",D726+(C726+C727)/2*(A727-A726)*60)</f>
        <v/>
      </c>
      <c r="E727" s="20">
        <f>IF(OR(D727="",$B$18=""),"",D727/$B$18)</f>
        <v/>
      </c>
      <c r="F727" s="29">
        <f>IF(OR(C727="",$B$18=""),"",C727*60/$B$18)</f>
        <v/>
      </c>
    </row>
    <row r="728">
      <c r="A728" s="26" t="n"/>
      <c r="B728" s="44" t="n"/>
      <c r="C728" s="45">
        <f>IF(B728="","",$B$15*(B728-$B$14))</f>
        <v/>
      </c>
      <c r="D728" s="46">
        <f>IF(OR(A728="",C728="",D727="",C727=""),"",D727+(C727+C728)/2*(A728-A727)*60)</f>
        <v/>
      </c>
      <c r="E728" s="20">
        <f>IF(OR(D728="",$B$18=""),"",D728/$B$18)</f>
        <v/>
      </c>
      <c r="F728" s="29">
        <f>IF(OR(C728="",$B$18=""),"",C728*60/$B$18)</f>
        <v/>
      </c>
    </row>
    <row r="729">
      <c r="A729" s="26" t="n"/>
      <c r="B729" s="44" t="n"/>
      <c r="C729" s="45">
        <f>IF(B729="","",$B$15*(B729-$B$14))</f>
        <v/>
      </c>
      <c r="D729" s="46">
        <f>IF(OR(A729="",C729="",D728="",C728=""),"",D728+(C728+C729)/2*(A729-A728)*60)</f>
        <v/>
      </c>
      <c r="E729" s="20">
        <f>IF(OR(D729="",$B$18=""),"",D729/$B$18)</f>
        <v/>
      </c>
      <c r="F729" s="29">
        <f>IF(OR(C729="",$B$18=""),"",C729*60/$B$18)</f>
        <v/>
      </c>
    </row>
    <row r="730">
      <c r="A730" s="26" t="n"/>
      <c r="B730" s="44" t="n"/>
      <c r="C730" s="45">
        <f>IF(B730="","",$B$15*(B730-$B$14))</f>
        <v/>
      </c>
      <c r="D730" s="46">
        <f>IF(OR(A730="",C730="",D729="",C729=""),"",D729+(C729+C730)/2*(A730-A729)*60)</f>
        <v/>
      </c>
      <c r="E730" s="20">
        <f>IF(OR(D730="",$B$18=""),"",D730/$B$18)</f>
        <v/>
      </c>
      <c r="F730" s="29">
        <f>IF(OR(C730="",$B$18=""),"",C730*60/$B$18)</f>
        <v/>
      </c>
    </row>
    <row r="731">
      <c r="A731" s="26" t="n"/>
      <c r="B731" s="44" t="n"/>
      <c r="C731" s="45">
        <f>IF(B731="","",$B$15*(B731-$B$14))</f>
        <v/>
      </c>
      <c r="D731" s="46">
        <f>IF(OR(A731="",C731="",D730="",C730=""),"",D730+(C730+C731)/2*(A731-A730)*60)</f>
        <v/>
      </c>
      <c r="E731" s="20">
        <f>IF(OR(D731="",$B$18=""),"",D731/$B$18)</f>
        <v/>
      </c>
      <c r="F731" s="29">
        <f>IF(OR(C731="",$B$18=""),"",C731*60/$B$18)</f>
        <v/>
      </c>
    </row>
    <row r="732">
      <c r="A732" s="26" t="n"/>
      <c r="B732" s="44" t="n"/>
      <c r="C732" s="45">
        <f>IF(B732="","",$B$15*(B732-$B$14))</f>
        <v/>
      </c>
      <c r="D732" s="46">
        <f>IF(OR(A732="",C732="",D731="",C731=""),"",D731+(C731+C732)/2*(A732-A731)*60)</f>
        <v/>
      </c>
      <c r="E732" s="20">
        <f>IF(OR(D732="",$B$18=""),"",D732/$B$18)</f>
        <v/>
      </c>
      <c r="F732" s="29">
        <f>IF(OR(C732="",$B$18=""),"",C732*60/$B$18)</f>
        <v/>
      </c>
    </row>
    <row r="733">
      <c r="A733" s="26" t="n"/>
      <c r="B733" s="44" t="n"/>
      <c r="C733" s="45">
        <f>IF(B733="","",$B$15*(B733-$B$14))</f>
        <v/>
      </c>
      <c r="D733" s="46">
        <f>IF(OR(A733="",C733="",D732="",C732=""),"",D732+(C732+C733)/2*(A733-A732)*60)</f>
        <v/>
      </c>
      <c r="E733" s="20">
        <f>IF(OR(D733="",$B$18=""),"",D733/$B$18)</f>
        <v/>
      </c>
      <c r="F733" s="29">
        <f>IF(OR(C733="",$B$18=""),"",C733*60/$B$18)</f>
        <v/>
      </c>
    </row>
    <row r="734">
      <c r="A734" s="26" t="n"/>
      <c r="B734" s="44" t="n"/>
      <c r="C734" s="45">
        <f>IF(B734="","",$B$15*(B734-$B$14))</f>
        <v/>
      </c>
      <c r="D734" s="46">
        <f>IF(OR(A734="",C734="",D733="",C733=""),"",D733+(C733+C734)/2*(A734-A733)*60)</f>
        <v/>
      </c>
      <c r="E734" s="20">
        <f>IF(OR(D734="",$B$18=""),"",D734/$B$18)</f>
        <v/>
      </c>
      <c r="F734" s="29">
        <f>IF(OR(C734="",$B$18=""),"",C734*60/$B$18)</f>
        <v/>
      </c>
    </row>
    <row r="735">
      <c r="A735" s="26" t="n"/>
      <c r="B735" s="44" t="n"/>
      <c r="C735" s="45">
        <f>IF(B735="","",$B$15*(B735-$B$14))</f>
        <v/>
      </c>
      <c r="D735" s="46">
        <f>IF(OR(A735="",C735="",D734="",C734=""),"",D734+(C734+C735)/2*(A735-A734)*60)</f>
        <v/>
      </c>
      <c r="E735" s="20">
        <f>IF(OR(D735="",$B$18=""),"",D735/$B$18)</f>
        <v/>
      </c>
      <c r="F735" s="29">
        <f>IF(OR(C735="",$B$18=""),"",C735*60/$B$18)</f>
        <v/>
      </c>
    </row>
    <row r="736">
      <c r="A736" s="26" t="n"/>
      <c r="B736" s="44" t="n"/>
      <c r="C736" s="45">
        <f>IF(B736="","",$B$15*(B736-$B$14))</f>
        <v/>
      </c>
      <c r="D736" s="46">
        <f>IF(OR(A736="",C736="",D735="",C735=""),"",D735+(C735+C736)/2*(A736-A735)*60)</f>
        <v/>
      </c>
      <c r="E736" s="20">
        <f>IF(OR(D736="",$B$18=""),"",D736/$B$18)</f>
        <v/>
      </c>
      <c r="F736" s="29">
        <f>IF(OR(C736="",$B$18=""),"",C736*60/$B$18)</f>
        <v/>
      </c>
    </row>
    <row r="737">
      <c r="A737" s="26" t="n"/>
      <c r="B737" s="44" t="n"/>
      <c r="C737" s="45">
        <f>IF(B737="","",$B$15*(B737-$B$14))</f>
        <v/>
      </c>
      <c r="D737" s="46">
        <f>IF(OR(A737="",C737="",D736="",C736=""),"",D736+(C736+C737)/2*(A737-A736)*60)</f>
        <v/>
      </c>
      <c r="E737" s="20">
        <f>IF(OR(D737="",$B$18=""),"",D737/$B$18)</f>
        <v/>
      </c>
      <c r="F737" s="29">
        <f>IF(OR(C737="",$B$18=""),"",C737*60/$B$18)</f>
        <v/>
      </c>
    </row>
    <row r="738">
      <c r="A738" s="26" t="n"/>
      <c r="B738" s="44" t="n"/>
      <c r="C738" s="45">
        <f>IF(B738="","",$B$15*(B738-$B$14))</f>
        <v/>
      </c>
      <c r="D738" s="46">
        <f>IF(OR(A738="",C738="",D737="",C737=""),"",D737+(C737+C738)/2*(A738-A737)*60)</f>
        <v/>
      </c>
      <c r="E738" s="20">
        <f>IF(OR(D738="",$B$18=""),"",D738/$B$18)</f>
        <v/>
      </c>
      <c r="F738" s="29">
        <f>IF(OR(C738="",$B$18=""),"",C738*60/$B$18)</f>
        <v/>
      </c>
    </row>
    <row r="739">
      <c r="A739" s="26" t="n"/>
      <c r="B739" s="44" t="n"/>
      <c r="C739" s="45">
        <f>IF(B739="","",$B$15*(B739-$B$14))</f>
        <v/>
      </c>
      <c r="D739" s="46">
        <f>IF(OR(A739="",C739="",D738="",C738=""),"",D738+(C738+C739)/2*(A739-A738)*60)</f>
        <v/>
      </c>
      <c r="E739" s="20">
        <f>IF(OR(D739="",$B$18=""),"",D739/$B$18)</f>
        <v/>
      </c>
      <c r="F739" s="29">
        <f>IF(OR(C739="",$B$18=""),"",C739*60/$B$18)</f>
        <v/>
      </c>
    </row>
    <row r="740">
      <c r="A740" s="26" t="n"/>
      <c r="B740" s="44" t="n"/>
      <c r="C740" s="45">
        <f>IF(B740="","",$B$15*(B740-$B$14))</f>
        <v/>
      </c>
      <c r="D740" s="46">
        <f>IF(OR(A740="",C740="",D739="",C739=""),"",D739+(C739+C740)/2*(A740-A739)*60)</f>
        <v/>
      </c>
      <c r="E740" s="20">
        <f>IF(OR(D740="",$B$18=""),"",D740/$B$18)</f>
        <v/>
      </c>
      <c r="F740" s="29">
        <f>IF(OR(C740="",$B$18=""),"",C740*60/$B$18)</f>
        <v/>
      </c>
    </row>
    <row r="741">
      <c r="A741" s="26" t="n"/>
      <c r="B741" s="44" t="n"/>
      <c r="C741" s="45">
        <f>IF(B741="","",$B$15*(B741-$B$14))</f>
        <v/>
      </c>
      <c r="D741" s="46">
        <f>IF(OR(A741="",C741="",D740="",C740=""),"",D740+(C740+C741)/2*(A741-A740)*60)</f>
        <v/>
      </c>
      <c r="E741" s="20">
        <f>IF(OR(D741="",$B$18=""),"",D741/$B$18)</f>
        <v/>
      </c>
      <c r="F741" s="29">
        <f>IF(OR(C741="",$B$18=""),"",C741*60/$B$18)</f>
        <v/>
      </c>
    </row>
    <row r="742">
      <c r="A742" s="26" t="n"/>
      <c r="B742" s="44" t="n"/>
      <c r="C742" s="45">
        <f>IF(B742="","",$B$15*(B742-$B$14))</f>
        <v/>
      </c>
      <c r="D742" s="46">
        <f>IF(OR(A742="",C742="",D741="",C741=""),"",D741+(C741+C742)/2*(A742-A741)*60)</f>
        <v/>
      </c>
      <c r="E742" s="20">
        <f>IF(OR(D742="",$B$18=""),"",D742/$B$18)</f>
        <v/>
      </c>
      <c r="F742" s="29">
        <f>IF(OR(C742="",$B$18=""),"",C742*60/$B$18)</f>
        <v/>
      </c>
    </row>
    <row r="743">
      <c r="A743" s="26" t="n"/>
      <c r="B743" s="44" t="n"/>
      <c r="C743" s="45">
        <f>IF(B743="","",$B$15*(B743-$B$14))</f>
        <v/>
      </c>
      <c r="D743" s="46">
        <f>IF(OR(A743="",C743="",D742="",C742=""),"",D742+(C742+C743)/2*(A743-A742)*60)</f>
        <v/>
      </c>
      <c r="E743" s="20">
        <f>IF(OR(D743="",$B$18=""),"",D743/$B$18)</f>
        <v/>
      </c>
      <c r="F743" s="29">
        <f>IF(OR(C743="",$B$18=""),"",C743*60/$B$18)</f>
        <v/>
      </c>
    </row>
    <row r="744">
      <c r="A744" s="26" t="n"/>
      <c r="B744" s="44" t="n"/>
      <c r="C744" s="45">
        <f>IF(B744="","",$B$15*(B744-$B$14))</f>
        <v/>
      </c>
      <c r="D744" s="46">
        <f>IF(OR(A744="",C744="",D743="",C743=""),"",D743+(C743+C744)/2*(A744-A743)*60)</f>
        <v/>
      </c>
      <c r="E744" s="20">
        <f>IF(OR(D744="",$B$18=""),"",D744/$B$18)</f>
        <v/>
      </c>
      <c r="F744" s="29">
        <f>IF(OR(C744="",$B$18=""),"",C744*60/$B$18)</f>
        <v/>
      </c>
    </row>
    <row r="745">
      <c r="A745" s="26" t="n"/>
      <c r="B745" s="44" t="n"/>
      <c r="C745" s="45">
        <f>IF(B745="","",$B$15*(B745-$B$14))</f>
        <v/>
      </c>
      <c r="D745" s="46">
        <f>IF(OR(A745="",C745="",D744="",C744=""),"",D744+(C744+C745)/2*(A745-A744)*60)</f>
        <v/>
      </c>
      <c r="E745" s="20">
        <f>IF(OR(D745="",$B$18=""),"",D745/$B$18)</f>
        <v/>
      </c>
      <c r="F745" s="29">
        <f>IF(OR(C745="",$B$18=""),"",C745*60/$B$18)</f>
        <v/>
      </c>
    </row>
    <row r="746">
      <c r="A746" s="26" t="n"/>
      <c r="B746" s="44" t="n"/>
      <c r="C746" s="45">
        <f>IF(B746="","",$B$15*(B746-$B$14))</f>
        <v/>
      </c>
      <c r="D746" s="46">
        <f>IF(OR(A746="",C746="",D745="",C745=""),"",D745+(C745+C746)/2*(A746-A745)*60)</f>
        <v/>
      </c>
      <c r="E746" s="20">
        <f>IF(OR(D746="",$B$18=""),"",D746/$B$18)</f>
        <v/>
      </c>
      <c r="F746" s="29">
        <f>IF(OR(C746="",$B$18=""),"",C746*60/$B$18)</f>
        <v/>
      </c>
    </row>
    <row r="747">
      <c r="A747" s="26" t="n"/>
      <c r="B747" s="44" t="n"/>
      <c r="C747" s="45">
        <f>IF(B747="","",$B$15*(B747-$B$14))</f>
        <v/>
      </c>
      <c r="D747" s="46">
        <f>IF(OR(A747="",C747="",D746="",C746=""),"",D746+(C746+C747)/2*(A747-A746)*60)</f>
        <v/>
      </c>
      <c r="E747" s="20">
        <f>IF(OR(D747="",$B$18=""),"",D747/$B$18)</f>
        <v/>
      </c>
      <c r="F747" s="29">
        <f>IF(OR(C747="",$B$18=""),"",C747*60/$B$18)</f>
        <v/>
      </c>
    </row>
    <row r="748">
      <c r="A748" s="26" t="n"/>
      <c r="B748" s="44" t="n"/>
      <c r="C748" s="45">
        <f>IF(B748="","",$B$15*(B748-$B$14))</f>
        <v/>
      </c>
      <c r="D748" s="46">
        <f>IF(OR(A748="",C748="",D747="",C747=""),"",D747+(C747+C748)/2*(A748-A747)*60)</f>
        <v/>
      </c>
      <c r="E748" s="20">
        <f>IF(OR(D748="",$B$18=""),"",D748/$B$18)</f>
        <v/>
      </c>
      <c r="F748" s="29">
        <f>IF(OR(C748="",$B$18=""),"",C748*60/$B$18)</f>
        <v/>
      </c>
    </row>
    <row r="749">
      <c r="A749" s="26" t="n"/>
      <c r="B749" s="44" t="n"/>
      <c r="C749" s="45">
        <f>IF(B749="","",$B$15*(B749-$B$14))</f>
        <v/>
      </c>
      <c r="D749" s="46">
        <f>IF(OR(A749="",C749="",D748="",C748=""),"",D748+(C748+C749)/2*(A749-A748)*60)</f>
        <v/>
      </c>
      <c r="E749" s="20">
        <f>IF(OR(D749="",$B$18=""),"",D749/$B$18)</f>
        <v/>
      </c>
      <c r="F749" s="29">
        <f>IF(OR(C749="",$B$18=""),"",C749*60/$B$18)</f>
        <v/>
      </c>
    </row>
    <row r="750">
      <c r="A750" s="26" t="n"/>
      <c r="B750" s="44" t="n"/>
      <c r="C750" s="45">
        <f>IF(B750="","",$B$15*(B750-$B$14))</f>
        <v/>
      </c>
      <c r="D750" s="46">
        <f>IF(OR(A750="",C750="",D749="",C749=""),"",D749+(C749+C750)/2*(A750-A749)*60)</f>
        <v/>
      </c>
      <c r="E750" s="20">
        <f>IF(OR(D750="",$B$18=""),"",D750/$B$18)</f>
        <v/>
      </c>
      <c r="F750" s="29">
        <f>IF(OR(C750="",$B$18=""),"",C750*60/$B$18)</f>
        <v/>
      </c>
    </row>
    <row r="751">
      <c r="A751" s="26" t="n"/>
      <c r="B751" s="44" t="n"/>
      <c r="C751" s="45">
        <f>IF(B751="","",$B$15*(B751-$B$14))</f>
        <v/>
      </c>
      <c r="D751" s="46">
        <f>IF(OR(A751="",C751="",D750="",C750=""),"",D750+(C750+C751)/2*(A751-A750)*60)</f>
        <v/>
      </c>
      <c r="E751" s="20">
        <f>IF(OR(D751="",$B$18=""),"",D751/$B$18)</f>
        <v/>
      </c>
      <c r="F751" s="29">
        <f>IF(OR(C751="",$B$18=""),"",C751*60/$B$18)</f>
        <v/>
      </c>
    </row>
    <row r="752">
      <c r="A752" s="26" t="n"/>
      <c r="B752" s="44" t="n"/>
      <c r="C752" s="45">
        <f>IF(B752="","",$B$15*(B752-$B$14))</f>
        <v/>
      </c>
      <c r="D752" s="46">
        <f>IF(OR(A752="",C752="",D751="",C751=""),"",D751+(C751+C752)/2*(A752-A751)*60)</f>
        <v/>
      </c>
      <c r="E752" s="20">
        <f>IF(OR(D752="",$B$18=""),"",D752/$B$18)</f>
        <v/>
      </c>
      <c r="F752" s="29">
        <f>IF(OR(C752="",$B$18=""),"",C752*60/$B$18)</f>
        <v/>
      </c>
    </row>
    <row r="753">
      <c r="A753" s="26" t="n"/>
      <c r="B753" s="44" t="n"/>
      <c r="C753" s="45">
        <f>IF(B753="","",$B$15*(B753-$B$14))</f>
        <v/>
      </c>
      <c r="D753" s="46">
        <f>IF(OR(A753="",C753="",D752="",C752=""),"",D752+(C752+C753)/2*(A753-A752)*60)</f>
        <v/>
      </c>
      <c r="E753" s="20">
        <f>IF(OR(D753="",$B$18=""),"",D753/$B$18)</f>
        <v/>
      </c>
      <c r="F753" s="29">
        <f>IF(OR(C753="",$B$18=""),"",C753*60/$B$18)</f>
        <v/>
      </c>
    </row>
    <row r="754">
      <c r="A754" s="26" t="n"/>
      <c r="B754" s="44" t="n"/>
      <c r="C754" s="45">
        <f>IF(B754="","",$B$15*(B754-$B$14))</f>
        <v/>
      </c>
      <c r="D754" s="46">
        <f>IF(OR(A754="",C754="",D753="",C753=""),"",D753+(C753+C754)/2*(A754-A753)*60)</f>
        <v/>
      </c>
      <c r="E754" s="20">
        <f>IF(OR(D754="",$B$18=""),"",D754/$B$18)</f>
        <v/>
      </c>
      <c r="F754" s="29">
        <f>IF(OR(C754="",$B$18=""),"",C754*60/$B$18)</f>
        <v/>
      </c>
    </row>
    <row r="755">
      <c r="A755" s="26" t="n"/>
      <c r="B755" s="44" t="n"/>
      <c r="C755" s="45">
        <f>IF(B755="","",$B$15*(B755-$B$14))</f>
        <v/>
      </c>
      <c r="D755" s="46">
        <f>IF(OR(A755="",C755="",D754="",C754=""),"",D754+(C754+C755)/2*(A755-A754)*60)</f>
        <v/>
      </c>
      <c r="E755" s="20">
        <f>IF(OR(D755="",$B$18=""),"",D755/$B$18)</f>
        <v/>
      </c>
      <c r="F755" s="29">
        <f>IF(OR(C755="",$B$18=""),"",C755*60/$B$18)</f>
        <v/>
      </c>
    </row>
    <row r="756">
      <c r="A756" s="26" t="n"/>
      <c r="B756" s="44" t="n"/>
      <c r="C756" s="45">
        <f>IF(B756="","",$B$15*(B756-$B$14))</f>
        <v/>
      </c>
      <c r="D756" s="46">
        <f>IF(OR(A756="",C756="",D755="",C755=""),"",D755+(C755+C756)/2*(A756-A755)*60)</f>
        <v/>
      </c>
      <c r="E756" s="20">
        <f>IF(OR(D756="",$B$18=""),"",D756/$B$18)</f>
        <v/>
      </c>
      <c r="F756" s="29">
        <f>IF(OR(C756="",$B$18=""),"",C756*60/$B$18)</f>
        <v/>
      </c>
    </row>
    <row r="757">
      <c r="A757" s="26" t="n"/>
      <c r="B757" s="44" t="n"/>
      <c r="C757" s="45">
        <f>IF(B757="","",$B$15*(B757-$B$14))</f>
        <v/>
      </c>
      <c r="D757" s="46">
        <f>IF(OR(A757="",C757="",D756="",C756=""),"",D756+(C756+C757)/2*(A757-A756)*60)</f>
        <v/>
      </c>
      <c r="E757" s="20">
        <f>IF(OR(D757="",$B$18=""),"",D757/$B$18)</f>
        <v/>
      </c>
      <c r="F757" s="29">
        <f>IF(OR(C757="",$B$18=""),"",C757*60/$B$18)</f>
        <v/>
      </c>
    </row>
    <row r="758">
      <c r="A758" s="26" t="n"/>
      <c r="B758" s="44" t="n"/>
      <c r="C758" s="45">
        <f>IF(B758="","",$B$15*(B758-$B$14))</f>
        <v/>
      </c>
      <c r="D758" s="46">
        <f>IF(OR(A758="",C758="",D757="",C757=""),"",D757+(C757+C758)/2*(A758-A757)*60)</f>
        <v/>
      </c>
      <c r="E758" s="20">
        <f>IF(OR(D758="",$B$18=""),"",D758/$B$18)</f>
        <v/>
      </c>
      <c r="F758" s="29">
        <f>IF(OR(C758="",$B$18=""),"",C758*60/$B$18)</f>
        <v/>
      </c>
    </row>
    <row r="759">
      <c r="A759" s="26" t="n"/>
      <c r="B759" s="44" t="n"/>
      <c r="C759" s="45">
        <f>IF(B759="","",$B$15*(B759-$B$14))</f>
        <v/>
      </c>
      <c r="D759" s="46">
        <f>IF(OR(A759="",C759="",D758="",C758=""),"",D758+(C758+C759)/2*(A759-A758)*60)</f>
        <v/>
      </c>
      <c r="E759" s="20">
        <f>IF(OR(D759="",$B$18=""),"",D759/$B$18)</f>
        <v/>
      </c>
      <c r="F759" s="29">
        <f>IF(OR(C759="",$B$18=""),"",C759*60/$B$18)</f>
        <v/>
      </c>
    </row>
    <row r="760">
      <c r="A760" s="26" t="n"/>
      <c r="B760" s="44" t="n"/>
      <c r="C760" s="45">
        <f>IF(B760="","",$B$15*(B760-$B$14))</f>
        <v/>
      </c>
      <c r="D760" s="46">
        <f>IF(OR(A760="",C760="",D759="",C759=""),"",D759+(C759+C760)/2*(A760-A759)*60)</f>
        <v/>
      </c>
      <c r="E760" s="20">
        <f>IF(OR(D760="",$B$18=""),"",D760/$B$18)</f>
        <v/>
      </c>
      <c r="F760" s="29">
        <f>IF(OR(C760="",$B$18=""),"",C760*60/$B$18)</f>
        <v/>
      </c>
    </row>
    <row r="761">
      <c r="A761" s="26" t="n"/>
      <c r="B761" s="44" t="n"/>
      <c r="C761" s="45">
        <f>IF(B761="","",$B$15*(B761-$B$14))</f>
        <v/>
      </c>
      <c r="D761" s="46">
        <f>IF(OR(A761="",C761="",D760="",C760=""),"",D760+(C760+C761)/2*(A761-A760)*60)</f>
        <v/>
      </c>
      <c r="E761" s="20">
        <f>IF(OR(D761="",$B$18=""),"",D761/$B$18)</f>
        <v/>
      </c>
      <c r="F761" s="29">
        <f>IF(OR(C761="",$B$18=""),"",C761*60/$B$18)</f>
        <v/>
      </c>
    </row>
    <row r="762">
      <c r="A762" s="26" t="n"/>
      <c r="B762" s="44" t="n"/>
      <c r="C762" s="45">
        <f>IF(B762="","",$B$15*(B762-$B$14))</f>
        <v/>
      </c>
      <c r="D762" s="46">
        <f>IF(OR(A762="",C762="",D761="",C761=""),"",D761+(C761+C762)/2*(A762-A761)*60)</f>
        <v/>
      </c>
      <c r="E762" s="20">
        <f>IF(OR(D762="",$B$18=""),"",D762/$B$18)</f>
        <v/>
      </c>
      <c r="F762" s="29">
        <f>IF(OR(C762="",$B$18=""),"",C762*60/$B$18)</f>
        <v/>
      </c>
    </row>
    <row r="763">
      <c r="A763" s="26" t="n"/>
      <c r="B763" s="44" t="n"/>
      <c r="C763" s="45">
        <f>IF(B763="","",$B$15*(B763-$B$14))</f>
        <v/>
      </c>
      <c r="D763" s="46">
        <f>IF(OR(A763="",C763="",D762="",C762=""),"",D762+(C762+C763)/2*(A763-A762)*60)</f>
        <v/>
      </c>
      <c r="E763" s="20">
        <f>IF(OR(D763="",$B$18=""),"",D763/$B$18)</f>
        <v/>
      </c>
      <c r="F763" s="29">
        <f>IF(OR(C763="",$B$18=""),"",C763*60/$B$18)</f>
        <v/>
      </c>
    </row>
    <row r="764">
      <c r="A764" s="26" t="n"/>
      <c r="B764" s="44" t="n"/>
      <c r="C764" s="45">
        <f>IF(B764="","",$B$15*(B764-$B$14))</f>
        <v/>
      </c>
      <c r="D764" s="46">
        <f>IF(OR(A764="",C764="",D763="",C763=""),"",D763+(C763+C764)/2*(A764-A763)*60)</f>
        <v/>
      </c>
      <c r="E764" s="20">
        <f>IF(OR(D764="",$B$18=""),"",D764/$B$18)</f>
        <v/>
      </c>
      <c r="F764" s="29">
        <f>IF(OR(C764="",$B$18=""),"",C764*60/$B$18)</f>
        <v/>
      </c>
    </row>
    <row r="765">
      <c r="A765" s="26" t="n"/>
      <c r="B765" s="44" t="n"/>
      <c r="C765" s="45">
        <f>IF(B765="","",$B$15*(B765-$B$14))</f>
        <v/>
      </c>
      <c r="D765" s="46">
        <f>IF(OR(A765="",C765="",D764="",C764=""),"",D764+(C764+C765)/2*(A765-A764)*60)</f>
        <v/>
      </c>
      <c r="E765" s="20">
        <f>IF(OR(D765="",$B$18=""),"",D765/$B$18)</f>
        <v/>
      </c>
      <c r="F765" s="29">
        <f>IF(OR(C765="",$B$18=""),"",C765*60/$B$18)</f>
        <v/>
      </c>
    </row>
    <row r="766">
      <c r="A766" s="26" t="n"/>
      <c r="B766" s="44" t="n"/>
      <c r="C766" s="45">
        <f>IF(B766="","",$B$15*(B766-$B$14))</f>
        <v/>
      </c>
      <c r="D766" s="46">
        <f>IF(OR(A766="",C766="",D765="",C765=""),"",D765+(C765+C766)/2*(A766-A765)*60)</f>
        <v/>
      </c>
      <c r="E766" s="20">
        <f>IF(OR(D766="",$B$18=""),"",D766/$B$18)</f>
        <v/>
      </c>
      <c r="F766" s="29">
        <f>IF(OR(C766="",$B$18=""),"",C766*60/$B$18)</f>
        <v/>
      </c>
    </row>
    <row r="767">
      <c r="A767" s="26" t="n"/>
      <c r="B767" s="44" t="n"/>
      <c r="C767" s="45">
        <f>IF(B767="","",$B$15*(B767-$B$14))</f>
        <v/>
      </c>
      <c r="D767" s="46">
        <f>IF(OR(A767="",C767="",D766="",C766=""),"",D766+(C766+C767)/2*(A767-A766)*60)</f>
        <v/>
      </c>
      <c r="E767" s="20">
        <f>IF(OR(D767="",$B$18=""),"",D767/$B$18)</f>
        <v/>
      </c>
      <c r="F767" s="29">
        <f>IF(OR(C767="",$B$18=""),"",C767*60/$B$18)</f>
        <v/>
      </c>
    </row>
    <row r="768">
      <c r="A768" s="26" t="n"/>
      <c r="B768" s="44" t="n"/>
      <c r="C768" s="45">
        <f>IF(B768="","",$B$15*(B768-$B$14))</f>
        <v/>
      </c>
      <c r="D768" s="46">
        <f>IF(OR(A768="",C768="",D767="",C767=""),"",D767+(C767+C768)/2*(A768-A767)*60)</f>
        <v/>
      </c>
      <c r="E768" s="20">
        <f>IF(OR(D768="",$B$18=""),"",D768/$B$18)</f>
        <v/>
      </c>
      <c r="F768" s="29">
        <f>IF(OR(C768="",$B$18=""),"",C768*60/$B$18)</f>
        <v/>
      </c>
    </row>
    <row r="769">
      <c r="A769" s="26" t="n"/>
      <c r="B769" s="44" t="n"/>
      <c r="C769" s="45">
        <f>IF(B769="","",$B$15*(B769-$B$14))</f>
        <v/>
      </c>
      <c r="D769" s="46">
        <f>IF(OR(A769="",C769="",D768="",C768=""),"",D768+(C768+C769)/2*(A769-A768)*60)</f>
        <v/>
      </c>
      <c r="E769" s="20">
        <f>IF(OR(D769="",$B$18=""),"",D769/$B$18)</f>
        <v/>
      </c>
      <c r="F769" s="29">
        <f>IF(OR(C769="",$B$18=""),"",C769*60/$B$18)</f>
        <v/>
      </c>
    </row>
    <row r="770">
      <c r="A770" s="26" t="n"/>
      <c r="B770" s="44" t="n"/>
      <c r="C770" s="45">
        <f>IF(B770="","",$B$15*(B770-$B$14))</f>
        <v/>
      </c>
      <c r="D770" s="46">
        <f>IF(OR(A770="",C770="",D769="",C769=""),"",D769+(C769+C770)/2*(A770-A769)*60)</f>
        <v/>
      </c>
      <c r="E770" s="20">
        <f>IF(OR(D770="",$B$18=""),"",D770/$B$18)</f>
        <v/>
      </c>
      <c r="F770" s="29">
        <f>IF(OR(C770="",$B$18=""),"",C770*60/$B$18)</f>
        <v/>
      </c>
    </row>
    <row r="771">
      <c r="A771" s="26" t="n"/>
      <c r="B771" s="44" t="n"/>
      <c r="C771" s="45">
        <f>IF(B771="","",$B$15*(B771-$B$14))</f>
        <v/>
      </c>
      <c r="D771" s="46">
        <f>IF(OR(A771="",C771="",D770="",C770=""),"",D770+(C770+C771)/2*(A771-A770)*60)</f>
        <v/>
      </c>
      <c r="E771" s="20">
        <f>IF(OR(D771="",$B$18=""),"",D771/$B$18)</f>
        <v/>
      </c>
      <c r="F771" s="29">
        <f>IF(OR(C771="",$B$18=""),"",C771*60/$B$18)</f>
        <v/>
      </c>
    </row>
    <row r="772">
      <c r="A772" s="26" t="n"/>
      <c r="B772" s="44" t="n"/>
      <c r="C772" s="45">
        <f>IF(B772="","",$B$15*(B772-$B$14))</f>
        <v/>
      </c>
      <c r="D772" s="46">
        <f>IF(OR(A772="",C772="",D771="",C771=""),"",D771+(C771+C772)/2*(A772-A771)*60)</f>
        <v/>
      </c>
      <c r="E772" s="20">
        <f>IF(OR(D772="",$B$18=""),"",D772/$B$18)</f>
        <v/>
      </c>
      <c r="F772" s="29">
        <f>IF(OR(C772="",$B$18=""),"",C772*60/$B$18)</f>
        <v/>
      </c>
    </row>
    <row r="773">
      <c r="A773" s="26" t="n"/>
      <c r="B773" s="44" t="n"/>
      <c r="C773" s="45">
        <f>IF(B773="","",$B$15*(B773-$B$14))</f>
        <v/>
      </c>
      <c r="D773" s="46">
        <f>IF(OR(A773="",C773="",D772="",C772=""),"",D772+(C772+C773)/2*(A773-A772)*60)</f>
        <v/>
      </c>
      <c r="E773" s="20">
        <f>IF(OR(D773="",$B$18=""),"",D773/$B$18)</f>
        <v/>
      </c>
      <c r="F773" s="29">
        <f>IF(OR(C773="",$B$18=""),"",C773*60/$B$18)</f>
        <v/>
      </c>
    </row>
    <row r="774">
      <c r="A774" s="26" t="n"/>
      <c r="B774" s="44" t="n"/>
      <c r="C774" s="45">
        <f>IF(B774="","",$B$15*(B774-$B$14))</f>
        <v/>
      </c>
      <c r="D774" s="46">
        <f>IF(OR(A774="",C774="",D773="",C773=""),"",D773+(C773+C774)/2*(A774-A773)*60)</f>
        <v/>
      </c>
      <c r="E774" s="20">
        <f>IF(OR(D774="",$B$18=""),"",D774/$B$18)</f>
        <v/>
      </c>
      <c r="F774" s="29">
        <f>IF(OR(C774="",$B$18=""),"",C774*60/$B$18)</f>
        <v/>
      </c>
    </row>
    <row r="775">
      <c r="A775" s="26" t="n"/>
      <c r="B775" s="44" t="n"/>
      <c r="C775" s="45">
        <f>IF(B775="","",$B$15*(B775-$B$14))</f>
        <v/>
      </c>
      <c r="D775" s="46">
        <f>IF(OR(A775="",C775="",D774="",C774=""),"",D774+(C774+C775)/2*(A775-A774)*60)</f>
        <v/>
      </c>
      <c r="E775" s="20">
        <f>IF(OR(D775="",$B$18=""),"",D775/$B$18)</f>
        <v/>
      </c>
      <c r="F775" s="29">
        <f>IF(OR(C775="",$B$18=""),"",C775*60/$B$18)</f>
        <v/>
      </c>
    </row>
    <row r="776">
      <c r="A776" s="26" t="n"/>
      <c r="B776" s="44" t="n"/>
      <c r="C776" s="45">
        <f>IF(B776="","",$B$15*(B776-$B$14))</f>
        <v/>
      </c>
      <c r="D776" s="46">
        <f>IF(OR(A776="",C776="",D775="",C775=""),"",D775+(C775+C776)/2*(A776-A775)*60)</f>
        <v/>
      </c>
      <c r="E776" s="20">
        <f>IF(OR(D776="",$B$18=""),"",D776/$B$18)</f>
        <v/>
      </c>
      <c r="F776" s="29">
        <f>IF(OR(C776="",$B$18=""),"",C776*60/$B$18)</f>
        <v/>
      </c>
    </row>
    <row r="777">
      <c r="A777" s="26" t="n"/>
      <c r="B777" s="44" t="n"/>
      <c r="C777" s="45">
        <f>IF(B777="","",$B$15*(B777-$B$14))</f>
        <v/>
      </c>
      <c r="D777" s="46">
        <f>IF(OR(A777="",C777="",D776="",C776=""),"",D776+(C776+C777)/2*(A777-A776)*60)</f>
        <v/>
      </c>
      <c r="E777" s="20">
        <f>IF(OR(D777="",$B$18=""),"",D777/$B$18)</f>
        <v/>
      </c>
      <c r="F777" s="29">
        <f>IF(OR(C777="",$B$18=""),"",C777*60/$B$18)</f>
        <v/>
      </c>
    </row>
    <row r="778">
      <c r="A778" s="26" t="n"/>
      <c r="B778" s="44" t="n"/>
      <c r="C778" s="45">
        <f>IF(B778="","",$B$15*(B778-$B$14))</f>
        <v/>
      </c>
      <c r="D778" s="46">
        <f>IF(OR(A778="",C778="",D777="",C777=""),"",D777+(C777+C778)/2*(A778-A777)*60)</f>
        <v/>
      </c>
      <c r="E778" s="20">
        <f>IF(OR(D778="",$B$18=""),"",D778/$B$18)</f>
        <v/>
      </c>
      <c r="F778" s="29">
        <f>IF(OR(C778="",$B$18=""),"",C778*60/$B$18)</f>
        <v/>
      </c>
    </row>
    <row r="779">
      <c r="A779" s="26" t="n"/>
      <c r="B779" s="44" t="n"/>
      <c r="C779" s="45">
        <f>IF(B779="","",$B$15*(B779-$B$14))</f>
        <v/>
      </c>
      <c r="D779" s="46">
        <f>IF(OR(A779="",C779="",D778="",C778=""),"",D778+(C778+C779)/2*(A779-A778)*60)</f>
        <v/>
      </c>
      <c r="E779" s="20">
        <f>IF(OR(D779="",$B$18=""),"",D779/$B$18)</f>
        <v/>
      </c>
      <c r="F779" s="29">
        <f>IF(OR(C779="",$B$18=""),"",C779*60/$B$18)</f>
        <v/>
      </c>
    </row>
    <row r="780">
      <c r="A780" s="26" t="n"/>
      <c r="B780" s="44" t="n"/>
      <c r="C780" s="45">
        <f>IF(B780="","",$B$15*(B780-$B$14))</f>
        <v/>
      </c>
      <c r="D780" s="46">
        <f>IF(OR(A780="",C780="",D779="",C779=""),"",D779+(C779+C780)/2*(A780-A779)*60)</f>
        <v/>
      </c>
      <c r="E780" s="20">
        <f>IF(OR(D780="",$B$18=""),"",D780/$B$18)</f>
        <v/>
      </c>
      <c r="F780" s="29">
        <f>IF(OR(C780="",$B$18=""),"",C780*60/$B$18)</f>
        <v/>
      </c>
    </row>
    <row r="781">
      <c r="A781" s="26" t="n"/>
      <c r="B781" s="44" t="n"/>
      <c r="C781" s="45">
        <f>IF(B781="","",$B$15*(B781-$B$14))</f>
        <v/>
      </c>
      <c r="D781" s="46">
        <f>IF(OR(A781="",C781="",D780="",C780=""),"",D780+(C780+C781)/2*(A781-A780)*60)</f>
        <v/>
      </c>
      <c r="E781" s="20">
        <f>IF(OR(D781="",$B$18=""),"",D781/$B$18)</f>
        <v/>
      </c>
      <c r="F781" s="29">
        <f>IF(OR(C781="",$B$18=""),"",C781*60/$B$18)</f>
        <v/>
      </c>
    </row>
    <row r="782">
      <c r="A782" s="26" t="n"/>
      <c r="B782" s="44" t="n"/>
      <c r="C782" s="45">
        <f>IF(B782="","",$B$15*(B782-$B$14))</f>
        <v/>
      </c>
      <c r="D782" s="46">
        <f>IF(OR(A782="",C782="",D781="",C781=""),"",D781+(C781+C782)/2*(A782-A781)*60)</f>
        <v/>
      </c>
      <c r="E782" s="20">
        <f>IF(OR(D782="",$B$18=""),"",D782/$B$18)</f>
        <v/>
      </c>
      <c r="F782" s="29">
        <f>IF(OR(C782="",$B$18=""),"",C782*60/$B$18)</f>
        <v/>
      </c>
    </row>
    <row r="783">
      <c r="A783" s="26" t="n"/>
      <c r="B783" s="44" t="n"/>
      <c r="C783" s="45">
        <f>IF(B783="","",$B$15*(B783-$B$14))</f>
        <v/>
      </c>
      <c r="D783" s="46">
        <f>IF(OR(A783="",C783="",D782="",C782=""),"",D782+(C782+C783)/2*(A783-A782)*60)</f>
        <v/>
      </c>
      <c r="E783" s="20">
        <f>IF(OR(D783="",$B$18=""),"",D783/$B$18)</f>
        <v/>
      </c>
      <c r="F783" s="29">
        <f>IF(OR(C783="",$B$18=""),"",C783*60/$B$18)</f>
        <v/>
      </c>
    </row>
    <row r="784">
      <c r="A784" s="26" t="n"/>
      <c r="B784" s="44" t="n"/>
      <c r="C784" s="45">
        <f>IF(B784="","",$B$15*(B784-$B$14))</f>
        <v/>
      </c>
      <c r="D784" s="46">
        <f>IF(OR(A784="",C784="",D783="",C783=""),"",D783+(C783+C784)/2*(A784-A783)*60)</f>
        <v/>
      </c>
      <c r="E784" s="20">
        <f>IF(OR(D784="",$B$18=""),"",D784/$B$18)</f>
        <v/>
      </c>
      <c r="F784" s="29">
        <f>IF(OR(C784="",$B$18=""),"",C784*60/$B$18)</f>
        <v/>
      </c>
    </row>
    <row r="785">
      <c r="A785" s="26" t="n"/>
      <c r="B785" s="44" t="n"/>
      <c r="C785" s="45">
        <f>IF(B785="","",$B$15*(B785-$B$14))</f>
        <v/>
      </c>
      <c r="D785" s="46">
        <f>IF(OR(A785="",C785="",D784="",C784=""),"",D784+(C784+C785)/2*(A785-A784)*60)</f>
        <v/>
      </c>
      <c r="E785" s="20">
        <f>IF(OR(D785="",$B$18=""),"",D785/$B$18)</f>
        <v/>
      </c>
      <c r="F785" s="29">
        <f>IF(OR(C785="",$B$18=""),"",C785*60/$B$18)</f>
        <v/>
      </c>
    </row>
    <row r="786">
      <c r="A786" s="26" t="n"/>
      <c r="B786" s="44" t="n"/>
      <c r="C786" s="45">
        <f>IF(B786="","",$B$15*(B786-$B$14))</f>
        <v/>
      </c>
      <c r="D786" s="46">
        <f>IF(OR(A786="",C786="",D785="",C785=""),"",D785+(C785+C786)/2*(A786-A785)*60)</f>
        <v/>
      </c>
      <c r="E786" s="20">
        <f>IF(OR(D786="",$B$18=""),"",D786/$B$18)</f>
        <v/>
      </c>
      <c r="F786" s="29">
        <f>IF(OR(C786="",$B$18=""),"",C786*60/$B$18)</f>
        <v/>
      </c>
    </row>
    <row r="787">
      <c r="A787" s="26" t="n"/>
      <c r="B787" s="44" t="n"/>
      <c r="C787" s="45">
        <f>IF(B787="","",$B$15*(B787-$B$14))</f>
        <v/>
      </c>
      <c r="D787" s="46">
        <f>IF(OR(A787="",C787="",D786="",C786=""),"",D786+(C786+C787)/2*(A787-A786)*60)</f>
        <v/>
      </c>
      <c r="E787" s="20">
        <f>IF(OR(D787="",$B$18=""),"",D787/$B$18)</f>
        <v/>
      </c>
      <c r="F787" s="29">
        <f>IF(OR(C787="",$B$18=""),"",C787*60/$B$18)</f>
        <v/>
      </c>
    </row>
    <row r="788">
      <c r="A788" s="26" t="n"/>
      <c r="B788" s="44" t="n"/>
      <c r="C788" s="45">
        <f>IF(B788="","",$B$15*(B788-$B$14))</f>
        <v/>
      </c>
      <c r="D788" s="46">
        <f>IF(OR(A788="",C788="",D787="",C787=""),"",D787+(C787+C788)/2*(A788-A787)*60)</f>
        <v/>
      </c>
      <c r="E788" s="20">
        <f>IF(OR(D788="",$B$18=""),"",D788/$B$18)</f>
        <v/>
      </c>
      <c r="F788" s="29">
        <f>IF(OR(C788="",$B$18=""),"",C788*60/$B$18)</f>
        <v/>
      </c>
    </row>
    <row r="789">
      <c r="A789" s="26" t="n"/>
      <c r="B789" s="44" t="n"/>
      <c r="C789" s="45">
        <f>IF(B789="","",$B$15*(B789-$B$14))</f>
        <v/>
      </c>
      <c r="D789" s="46">
        <f>IF(OR(A789="",C789="",D788="",C788=""),"",D788+(C788+C789)/2*(A789-A788)*60)</f>
        <v/>
      </c>
      <c r="E789" s="20">
        <f>IF(OR(D789="",$B$18=""),"",D789/$B$18)</f>
        <v/>
      </c>
      <c r="F789" s="29">
        <f>IF(OR(C789="",$B$18=""),"",C789*60/$B$18)</f>
        <v/>
      </c>
    </row>
    <row r="790">
      <c r="A790" s="26" t="n"/>
      <c r="B790" s="44" t="n"/>
      <c r="C790" s="45">
        <f>IF(B790="","",$B$15*(B790-$B$14))</f>
        <v/>
      </c>
      <c r="D790" s="46">
        <f>IF(OR(A790="",C790="",D789="",C789=""),"",D789+(C789+C790)/2*(A790-A789)*60)</f>
        <v/>
      </c>
      <c r="E790" s="20">
        <f>IF(OR(D790="",$B$18=""),"",D790/$B$18)</f>
        <v/>
      </c>
      <c r="F790" s="29">
        <f>IF(OR(C790="",$B$18=""),"",C790*60/$B$18)</f>
        <v/>
      </c>
    </row>
    <row r="791">
      <c r="A791" s="26" t="n"/>
      <c r="B791" s="44" t="n"/>
      <c r="C791" s="45">
        <f>IF(B791="","",$B$15*(B791-$B$14))</f>
        <v/>
      </c>
      <c r="D791" s="46">
        <f>IF(OR(A791="",C791="",D790="",C790=""),"",D790+(C790+C791)/2*(A791-A790)*60)</f>
        <v/>
      </c>
      <c r="E791" s="20">
        <f>IF(OR(D791="",$B$18=""),"",D791/$B$18)</f>
        <v/>
      </c>
      <c r="F791" s="29">
        <f>IF(OR(C791="",$B$18=""),"",C791*60/$B$18)</f>
        <v/>
      </c>
    </row>
    <row r="792">
      <c r="A792" s="26" t="n"/>
      <c r="B792" s="44" t="n"/>
      <c r="C792" s="45">
        <f>IF(B792="","",$B$15*(B792-$B$14))</f>
        <v/>
      </c>
      <c r="D792" s="46">
        <f>IF(OR(A792="",C792="",D791="",C791=""),"",D791+(C791+C792)/2*(A792-A791)*60)</f>
        <v/>
      </c>
      <c r="E792" s="20">
        <f>IF(OR(D792="",$B$18=""),"",D792/$B$18)</f>
        <v/>
      </c>
      <c r="F792" s="29">
        <f>IF(OR(C792="",$B$18=""),"",C792*60/$B$18)</f>
        <v/>
      </c>
    </row>
    <row r="793">
      <c r="A793" s="26" t="n"/>
      <c r="B793" s="44" t="n"/>
      <c r="C793" s="45">
        <f>IF(B793="","",$B$15*(B793-$B$14))</f>
        <v/>
      </c>
      <c r="D793" s="46">
        <f>IF(OR(A793="",C793="",D792="",C792=""),"",D792+(C792+C793)/2*(A793-A792)*60)</f>
        <v/>
      </c>
      <c r="E793" s="20">
        <f>IF(OR(D793="",$B$18=""),"",D793/$B$18)</f>
        <v/>
      </c>
      <c r="F793" s="29">
        <f>IF(OR(C793="",$B$18=""),"",C793*60/$B$18)</f>
        <v/>
      </c>
    </row>
    <row r="794">
      <c r="A794" s="26" t="n"/>
      <c r="B794" s="44" t="n"/>
      <c r="C794" s="45">
        <f>IF(B794="","",$B$15*(B794-$B$14))</f>
        <v/>
      </c>
      <c r="D794" s="46">
        <f>IF(OR(A794="",C794="",D793="",C793=""),"",D793+(C793+C794)/2*(A794-A793)*60)</f>
        <v/>
      </c>
      <c r="E794" s="20">
        <f>IF(OR(D794="",$B$18=""),"",D794/$B$18)</f>
        <v/>
      </c>
      <c r="F794" s="29">
        <f>IF(OR(C794="",$B$18=""),"",C794*60/$B$18)</f>
        <v/>
      </c>
    </row>
    <row r="795">
      <c r="A795" s="26" t="n"/>
      <c r="B795" s="44" t="n"/>
      <c r="C795" s="45">
        <f>IF(B795="","",$B$15*(B795-$B$14))</f>
        <v/>
      </c>
      <c r="D795" s="46">
        <f>IF(OR(A795="",C795="",D794="",C794=""),"",D794+(C794+C795)/2*(A795-A794)*60)</f>
        <v/>
      </c>
      <c r="E795" s="20">
        <f>IF(OR(D795="",$B$18=""),"",D795/$B$18)</f>
        <v/>
      </c>
      <c r="F795" s="29">
        <f>IF(OR(C795="",$B$18=""),"",C795*60/$B$18)</f>
        <v/>
      </c>
    </row>
    <row r="796">
      <c r="A796" s="26" t="n"/>
      <c r="B796" s="44" t="n"/>
      <c r="C796" s="45">
        <f>IF(B796="","",$B$15*(B796-$B$14))</f>
        <v/>
      </c>
      <c r="D796" s="46">
        <f>IF(OR(A796="",C796="",D795="",C795=""),"",D795+(C795+C796)/2*(A796-A795)*60)</f>
        <v/>
      </c>
      <c r="E796" s="20">
        <f>IF(OR(D796="",$B$18=""),"",D796/$B$18)</f>
        <v/>
      </c>
      <c r="F796" s="29">
        <f>IF(OR(C796="",$B$18=""),"",C796*60/$B$18)</f>
        <v/>
      </c>
    </row>
    <row r="797">
      <c r="A797" s="26" t="n"/>
      <c r="B797" s="44" t="n"/>
      <c r="C797" s="45">
        <f>IF(B797="","",$B$15*(B797-$B$14))</f>
        <v/>
      </c>
      <c r="D797" s="46">
        <f>IF(OR(A797="",C797="",D796="",C796=""),"",D796+(C796+C797)/2*(A797-A796)*60)</f>
        <v/>
      </c>
      <c r="E797" s="20">
        <f>IF(OR(D797="",$B$18=""),"",D797/$B$18)</f>
        <v/>
      </c>
      <c r="F797" s="29">
        <f>IF(OR(C797="",$B$18=""),"",C797*60/$B$18)</f>
        <v/>
      </c>
    </row>
    <row r="798">
      <c r="A798" s="26" t="n"/>
      <c r="B798" s="44" t="n"/>
      <c r="C798" s="45">
        <f>IF(B798="","",$B$15*(B798-$B$14))</f>
        <v/>
      </c>
      <c r="D798" s="46">
        <f>IF(OR(A798="",C798="",D797="",C797=""),"",D797+(C797+C798)/2*(A798-A797)*60)</f>
        <v/>
      </c>
      <c r="E798" s="20">
        <f>IF(OR(D798="",$B$18=""),"",D798/$B$18)</f>
        <v/>
      </c>
      <c r="F798" s="29">
        <f>IF(OR(C798="",$B$18=""),"",C798*60/$B$18)</f>
        <v/>
      </c>
    </row>
    <row r="799">
      <c r="A799" s="26" t="n"/>
      <c r="B799" s="44" t="n"/>
      <c r="C799" s="45">
        <f>IF(B799="","",$B$15*(B799-$B$14))</f>
        <v/>
      </c>
      <c r="D799" s="46">
        <f>IF(OR(A799="",C799="",D798="",C798=""),"",D798+(C798+C799)/2*(A799-A798)*60)</f>
        <v/>
      </c>
      <c r="E799" s="20">
        <f>IF(OR(D799="",$B$18=""),"",D799/$B$18)</f>
        <v/>
      </c>
      <c r="F799" s="29">
        <f>IF(OR(C799="",$B$18=""),"",C799*60/$B$18)</f>
        <v/>
      </c>
    </row>
    <row r="800">
      <c r="A800" s="26" t="n"/>
      <c r="B800" s="44" t="n"/>
      <c r="C800" s="45">
        <f>IF(B800="","",$B$15*(B800-$B$14))</f>
        <v/>
      </c>
      <c r="D800" s="46">
        <f>IF(OR(A800="",C800="",D799="",C799=""),"",D799+(C799+C800)/2*(A800-A799)*60)</f>
        <v/>
      </c>
      <c r="E800" s="20">
        <f>IF(OR(D800="",$B$18=""),"",D800/$B$18)</f>
        <v/>
      </c>
      <c r="F800" s="29">
        <f>IF(OR(C800="",$B$18=""),"",C800*60/$B$18)</f>
        <v/>
      </c>
    </row>
    <row r="801">
      <c r="A801" s="26" t="n"/>
      <c r="B801" s="44" t="n"/>
      <c r="C801" s="45">
        <f>IF(B801="","",$B$15*(B801-$B$14))</f>
        <v/>
      </c>
      <c r="D801" s="46">
        <f>IF(OR(A801="",C801="",D800="",C800=""),"",D800+(C800+C801)/2*(A801-A800)*60)</f>
        <v/>
      </c>
      <c r="E801" s="20">
        <f>IF(OR(D801="",$B$18=""),"",D801/$B$18)</f>
        <v/>
      </c>
      <c r="F801" s="29">
        <f>IF(OR(C801="",$B$18=""),"",C801*60/$B$18)</f>
        <v/>
      </c>
    </row>
    <row r="802">
      <c r="A802" s="26" t="n"/>
      <c r="B802" s="44" t="n"/>
      <c r="C802" s="45">
        <f>IF(B802="","",$B$15*(B802-$B$14))</f>
        <v/>
      </c>
      <c r="D802" s="46">
        <f>IF(OR(A802="",C802="",D801="",C801=""),"",D801+(C801+C802)/2*(A802-A801)*60)</f>
        <v/>
      </c>
      <c r="E802" s="20">
        <f>IF(OR(D802="",$B$18=""),"",D802/$B$18)</f>
        <v/>
      </c>
      <c r="F802" s="29">
        <f>IF(OR(C802="",$B$18=""),"",C802*60/$B$18)</f>
        <v/>
      </c>
    </row>
    <row r="803">
      <c r="A803" s="26" t="n"/>
      <c r="B803" s="44" t="n"/>
      <c r="C803" s="45">
        <f>IF(B803="","",$B$15*(B803-$B$14))</f>
        <v/>
      </c>
      <c r="D803" s="46">
        <f>IF(OR(A803="",C803="",D802="",C802=""),"",D802+(C802+C803)/2*(A803-A802)*60)</f>
        <v/>
      </c>
      <c r="E803" s="20">
        <f>IF(OR(D803="",$B$18=""),"",D803/$B$18)</f>
        <v/>
      </c>
      <c r="F803" s="29">
        <f>IF(OR(C803="",$B$18=""),"",C803*60/$B$18)</f>
        <v/>
      </c>
    </row>
    <row r="804">
      <c r="A804" s="26" t="n"/>
      <c r="B804" s="44" t="n"/>
      <c r="C804" s="45">
        <f>IF(B804="","",$B$15*(B804-$B$14))</f>
        <v/>
      </c>
      <c r="D804" s="46">
        <f>IF(OR(A804="",C804="",D803="",C803=""),"",D803+(C803+C804)/2*(A804-A803)*60)</f>
        <v/>
      </c>
      <c r="E804" s="20">
        <f>IF(OR(D804="",$B$18=""),"",D804/$B$18)</f>
        <v/>
      </c>
      <c r="F804" s="29">
        <f>IF(OR(C804="",$B$18=""),"",C804*60/$B$18)</f>
        <v/>
      </c>
    </row>
    <row r="805">
      <c r="A805" s="26" t="n"/>
      <c r="B805" s="44" t="n"/>
      <c r="C805" s="45">
        <f>IF(B805="","",$B$15*(B805-$B$14))</f>
        <v/>
      </c>
      <c r="D805" s="46">
        <f>IF(OR(A805="",C805="",D804="",C804=""),"",D804+(C804+C805)/2*(A805-A804)*60)</f>
        <v/>
      </c>
      <c r="E805" s="20">
        <f>IF(OR(D805="",$B$18=""),"",D805/$B$18)</f>
        <v/>
      </c>
      <c r="F805" s="29">
        <f>IF(OR(C805="",$B$18=""),"",C805*60/$B$18)</f>
        <v/>
      </c>
    </row>
    <row r="806">
      <c r="A806" s="26" t="n"/>
      <c r="B806" s="44" t="n"/>
      <c r="C806" s="45">
        <f>IF(B806="","",$B$15*(B806-$B$14))</f>
        <v/>
      </c>
      <c r="D806" s="46">
        <f>IF(OR(A806="",C806="",D805="",C805=""),"",D805+(C805+C806)/2*(A806-A805)*60)</f>
        <v/>
      </c>
      <c r="E806" s="20">
        <f>IF(OR(D806="",$B$18=""),"",D806/$B$18)</f>
        <v/>
      </c>
      <c r="F806" s="29">
        <f>IF(OR(C806="",$B$18=""),"",C806*60/$B$18)</f>
        <v/>
      </c>
    </row>
    <row r="807">
      <c r="A807" s="26" t="n"/>
      <c r="B807" s="44" t="n"/>
      <c r="C807" s="45">
        <f>IF(B807="","",$B$15*(B807-$B$14))</f>
        <v/>
      </c>
      <c r="D807" s="46">
        <f>IF(OR(A807="",C807="",D806="",C806=""),"",D806+(C806+C807)/2*(A807-A806)*60)</f>
        <v/>
      </c>
      <c r="E807" s="20">
        <f>IF(OR(D807="",$B$18=""),"",D807/$B$18)</f>
        <v/>
      </c>
      <c r="F807" s="29">
        <f>IF(OR(C807="",$B$18=""),"",C807*60/$B$18)</f>
        <v/>
      </c>
    </row>
    <row r="808">
      <c r="A808" s="26" t="n"/>
      <c r="B808" s="44" t="n"/>
      <c r="C808" s="45">
        <f>IF(B808="","",$B$15*(B808-$B$14))</f>
        <v/>
      </c>
      <c r="D808" s="46">
        <f>IF(OR(A808="",C808="",D807="",C807=""),"",D807+(C807+C808)/2*(A808-A807)*60)</f>
        <v/>
      </c>
      <c r="E808" s="20">
        <f>IF(OR(D808="",$B$18=""),"",D808/$B$18)</f>
        <v/>
      </c>
      <c r="F808" s="29">
        <f>IF(OR(C808="",$B$18=""),"",C808*60/$B$18)</f>
        <v/>
      </c>
    </row>
    <row r="809">
      <c r="A809" s="26" t="n"/>
      <c r="B809" s="44" t="n"/>
      <c r="C809" s="45">
        <f>IF(B809="","",$B$15*(B809-$B$14))</f>
        <v/>
      </c>
      <c r="D809" s="46">
        <f>IF(OR(A809="",C809="",D808="",C808=""),"",D808+(C808+C809)/2*(A809-A808)*60)</f>
        <v/>
      </c>
      <c r="E809" s="20">
        <f>IF(OR(D809="",$B$18=""),"",D809/$B$18)</f>
        <v/>
      </c>
      <c r="F809" s="29">
        <f>IF(OR(C809="",$B$18=""),"",C809*60/$B$18)</f>
        <v/>
      </c>
    </row>
    <row r="810">
      <c r="A810" s="26" t="n"/>
      <c r="B810" s="44" t="n"/>
      <c r="C810" s="45">
        <f>IF(B810="","",$B$15*(B810-$B$14))</f>
        <v/>
      </c>
      <c r="D810" s="46">
        <f>IF(OR(A810="",C810="",D809="",C809=""),"",D809+(C809+C810)/2*(A810-A809)*60)</f>
        <v/>
      </c>
      <c r="E810" s="20">
        <f>IF(OR(D810="",$B$18=""),"",D810/$B$18)</f>
        <v/>
      </c>
      <c r="F810" s="29">
        <f>IF(OR(C810="",$B$18=""),"",C810*60/$B$18)</f>
        <v/>
      </c>
    </row>
    <row r="811">
      <c r="A811" s="26" t="n"/>
      <c r="B811" s="44" t="n"/>
      <c r="C811" s="45">
        <f>IF(B811="","",$B$15*(B811-$B$14))</f>
        <v/>
      </c>
      <c r="D811" s="46">
        <f>IF(OR(A811="",C811="",D810="",C810=""),"",D810+(C810+C811)/2*(A811-A810)*60)</f>
        <v/>
      </c>
      <c r="E811" s="20">
        <f>IF(OR(D811="",$B$18=""),"",D811/$B$18)</f>
        <v/>
      </c>
      <c r="F811" s="29">
        <f>IF(OR(C811="",$B$18=""),"",C811*60/$B$18)</f>
        <v/>
      </c>
    </row>
    <row r="812">
      <c r="A812" s="26" t="n"/>
      <c r="B812" s="44" t="n"/>
      <c r="C812" s="45">
        <f>IF(B812="","",$B$15*(B812-$B$14))</f>
        <v/>
      </c>
      <c r="D812" s="46">
        <f>IF(OR(A812="",C812="",D811="",C811=""),"",D811+(C811+C812)/2*(A812-A811)*60)</f>
        <v/>
      </c>
      <c r="E812" s="20">
        <f>IF(OR(D812="",$B$18=""),"",D812/$B$18)</f>
        <v/>
      </c>
      <c r="F812" s="29">
        <f>IF(OR(C812="",$B$18=""),"",C812*60/$B$18)</f>
        <v/>
      </c>
    </row>
    <row r="813">
      <c r="A813" s="26" t="n"/>
      <c r="B813" s="44" t="n"/>
      <c r="C813" s="45">
        <f>IF(B813="","",$B$15*(B813-$B$14))</f>
        <v/>
      </c>
      <c r="D813" s="46">
        <f>IF(OR(A813="",C813="",D812="",C812=""),"",D812+(C812+C813)/2*(A813-A812)*60)</f>
        <v/>
      </c>
      <c r="E813" s="20">
        <f>IF(OR(D813="",$B$18=""),"",D813/$B$18)</f>
        <v/>
      </c>
      <c r="F813" s="29">
        <f>IF(OR(C813="",$B$18=""),"",C813*60/$B$18)</f>
        <v/>
      </c>
    </row>
    <row r="814">
      <c r="A814" s="26" t="n"/>
      <c r="B814" s="44" t="n"/>
      <c r="C814" s="45">
        <f>IF(B814="","",$B$15*(B814-$B$14))</f>
        <v/>
      </c>
      <c r="D814" s="46">
        <f>IF(OR(A814="",C814="",D813="",C813=""),"",D813+(C813+C814)/2*(A814-A813)*60)</f>
        <v/>
      </c>
      <c r="E814" s="20">
        <f>IF(OR(D814="",$B$18=""),"",D814/$B$18)</f>
        <v/>
      </c>
      <c r="F814" s="29">
        <f>IF(OR(C814="",$B$18=""),"",C814*60/$B$18)</f>
        <v/>
      </c>
    </row>
    <row r="815">
      <c r="A815" s="26" t="n"/>
      <c r="B815" s="44" t="n"/>
      <c r="C815" s="45">
        <f>IF(B815="","",$B$15*(B815-$B$14))</f>
        <v/>
      </c>
      <c r="D815" s="46">
        <f>IF(OR(A815="",C815="",D814="",C814=""),"",D814+(C814+C815)/2*(A815-A814)*60)</f>
        <v/>
      </c>
      <c r="E815" s="20">
        <f>IF(OR(D815="",$B$18=""),"",D815/$B$18)</f>
        <v/>
      </c>
      <c r="F815" s="29">
        <f>IF(OR(C815="",$B$18=""),"",C815*60/$B$18)</f>
        <v/>
      </c>
    </row>
    <row r="816">
      <c r="A816" s="26" t="n"/>
      <c r="B816" s="44" t="n"/>
      <c r="C816" s="45">
        <f>IF(B816="","",$B$15*(B816-$B$14))</f>
        <v/>
      </c>
      <c r="D816" s="46">
        <f>IF(OR(A816="",C816="",D815="",C815=""),"",D815+(C815+C816)/2*(A816-A815)*60)</f>
        <v/>
      </c>
      <c r="E816" s="20">
        <f>IF(OR(D816="",$B$18=""),"",D816/$B$18)</f>
        <v/>
      </c>
      <c r="F816" s="29">
        <f>IF(OR(C816="",$B$18=""),"",C816*60/$B$18)</f>
        <v/>
      </c>
    </row>
    <row r="817">
      <c r="A817" s="26" t="n"/>
      <c r="B817" s="44" t="n"/>
      <c r="C817" s="45">
        <f>IF(B817="","",$B$15*(B817-$B$14))</f>
        <v/>
      </c>
      <c r="D817" s="46">
        <f>IF(OR(A817="",C817="",D816="",C816=""),"",D816+(C816+C817)/2*(A817-A816)*60)</f>
        <v/>
      </c>
      <c r="E817" s="20">
        <f>IF(OR(D817="",$B$18=""),"",D817/$B$18)</f>
        <v/>
      </c>
      <c r="F817" s="29">
        <f>IF(OR(C817="",$B$18=""),"",C817*60/$B$18)</f>
        <v/>
      </c>
    </row>
    <row r="818">
      <c r="A818" s="26" t="n"/>
      <c r="B818" s="44" t="n"/>
      <c r="C818" s="45">
        <f>IF(B818="","",$B$15*(B818-$B$14))</f>
        <v/>
      </c>
      <c r="D818" s="46">
        <f>IF(OR(A818="",C818="",D817="",C817=""),"",D817+(C817+C818)/2*(A818-A817)*60)</f>
        <v/>
      </c>
      <c r="E818" s="20">
        <f>IF(OR(D818="",$B$18=""),"",D818/$B$18)</f>
        <v/>
      </c>
      <c r="F818" s="29">
        <f>IF(OR(C818="",$B$18=""),"",C818*60/$B$18)</f>
        <v/>
      </c>
    </row>
    <row r="819">
      <c r="A819" s="26" t="n"/>
      <c r="B819" s="44" t="n"/>
      <c r="C819" s="45">
        <f>IF(B819="","",$B$15*(B819-$B$14))</f>
        <v/>
      </c>
      <c r="D819" s="46">
        <f>IF(OR(A819="",C819="",D818="",C818=""),"",D818+(C818+C819)/2*(A819-A818)*60)</f>
        <v/>
      </c>
      <c r="E819" s="20">
        <f>IF(OR(D819="",$B$18=""),"",D819/$B$18)</f>
        <v/>
      </c>
      <c r="F819" s="29">
        <f>IF(OR(C819="",$B$18=""),"",C819*60/$B$18)</f>
        <v/>
      </c>
    </row>
    <row r="820">
      <c r="A820" s="26" t="n"/>
      <c r="B820" s="44" t="n"/>
      <c r="C820" s="45">
        <f>IF(B820="","",$B$15*(B820-$B$14))</f>
        <v/>
      </c>
      <c r="D820" s="46">
        <f>IF(OR(A820="",C820="",D819="",C819=""),"",D819+(C819+C820)/2*(A820-A819)*60)</f>
        <v/>
      </c>
      <c r="E820" s="20">
        <f>IF(OR(D820="",$B$18=""),"",D820/$B$18)</f>
        <v/>
      </c>
      <c r="F820" s="29">
        <f>IF(OR(C820="",$B$18=""),"",C820*60/$B$18)</f>
        <v/>
      </c>
    </row>
    <row r="821">
      <c r="A821" s="26" t="n"/>
      <c r="B821" s="44" t="n"/>
      <c r="C821" s="45">
        <f>IF(B821="","",$B$15*(B821-$B$14))</f>
        <v/>
      </c>
      <c r="D821" s="46">
        <f>IF(OR(A821="",C821="",D820="",C820=""),"",D820+(C820+C821)/2*(A821-A820)*60)</f>
        <v/>
      </c>
      <c r="E821" s="20">
        <f>IF(OR(D821="",$B$18=""),"",D821/$B$18)</f>
        <v/>
      </c>
      <c r="F821" s="29">
        <f>IF(OR(C821="",$B$18=""),"",C821*60/$B$18)</f>
        <v/>
      </c>
    </row>
    <row r="822">
      <c r="A822" s="26" t="n"/>
      <c r="B822" s="44" t="n"/>
      <c r="C822" s="45">
        <f>IF(B822="","",$B$15*(B822-$B$14))</f>
        <v/>
      </c>
      <c r="D822" s="46">
        <f>IF(OR(A822="",C822="",D821="",C821=""),"",D821+(C821+C822)/2*(A822-A821)*60)</f>
        <v/>
      </c>
      <c r="E822" s="20">
        <f>IF(OR(D822="",$B$18=""),"",D822/$B$18)</f>
        <v/>
      </c>
      <c r="F822" s="29">
        <f>IF(OR(C822="",$B$18=""),"",C822*60/$B$18)</f>
        <v/>
      </c>
    </row>
    <row r="823">
      <c r="A823" s="26" t="n"/>
      <c r="B823" s="44" t="n"/>
      <c r="C823" s="45">
        <f>IF(B823="","",$B$15*(B823-$B$14))</f>
        <v/>
      </c>
      <c r="D823" s="46">
        <f>IF(OR(A823="",C823="",D822="",C822=""),"",D822+(C822+C823)/2*(A823-A822)*60)</f>
        <v/>
      </c>
      <c r="E823" s="20">
        <f>IF(OR(D823="",$B$18=""),"",D823/$B$18)</f>
        <v/>
      </c>
      <c r="F823" s="29">
        <f>IF(OR(C823="",$B$18=""),"",C823*60/$B$18)</f>
        <v/>
      </c>
    </row>
    <row r="824">
      <c r="A824" s="26" t="n"/>
      <c r="B824" s="44" t="n"/>
      <c r="C824" s="45">
        <f>IF(B824="","",$B$15*(B824-$B$14))</f>
        <v/>
      </c>
      <c r="D824" s="46">
        <f>IF(OR(A824="",C824="",D823="",C823=""),"",D823+(C823+C824)/2*(A824-A823)*60)</f>
        <v/>
      </c>
      <c r="E824" s="20">
        <f>IF(OR(D824="",$B$18=""),"",D824/$B$18)</f>
        <v/>
      </c>
      <c r="F824" s="29">
        <f>IF(OR(C824="",$B$18=""),"",C824*60/$B$18)</f>
        <v/>
      </c>
    </row>
    <row r="825">
      <c r="A825" s="26" t="n"/>
      <c r="B825" s="44" t="n"/>
      <c r="C825" s="45">
        <f>IF(B825="","",$B$15*(B825-$B$14))</f>
        <v/>
      </c>
      <c r="D825" s="46">
        <f>IF(OR(A825="",C825="",D824="",C824=""),"",D824+(C824+C825)/2*(A825-A824)*60)</f>
        <v/>
      </c>
      <c r="E825" s="20">
        <f>IF(OR(D825="",$B$18=""),"",D825/$B$18)</f>
        <v/>
      </c>
      <c r="F825" s="29">
        <f>IF(OR(C825="",$B$18=""),"",C825*60/$B$18)</f>
        <v/>
      </c>
    </row>
    <row r="826">
      <c r="A826" s="26" t="n"/>
      <c r="B826" s="44" t="n"/>
      <c r="C826" s="45">
        <f>IF(B826="","",$B$15*(B826-$B$14))</f>
        <v/>
      </c>
      <c r="D826" s="46">
        <f>IF(OR(A826="",C826="",D825="",C825=""),"",D825+(C825+C826)/2*(A826-A825)*60)</f>
        <v/>
      </c>
      <c r="E826" s="20">
        <f>IF(OR(D826="",$B$18=""),"",D826/$B$18)</f>
        <v/>
      </c>
      <c r="F826" s="29">
        <f>IF(OR(C826="",$B$18=""),"",C826*60/$B$18)</f>
        <v/>
      </c>
    </row>
    <row r="827">
      <c r="A827" s="26" t="n"/>
      <c r="B827" s="44" t="n"/>
      <c r="C827" s="45">
        <f>IF(B827="","",$B$15*(B827-$B$14))</f>
        <v/>
      </c>
      <c r="D827" s="46">
        <f>IF(OR(A827="",C827="",D826="",C826=""),"",D826+(C826+C827)/2*(A827-A826)*60)</f>
        <v/>
      </c>
      <c r="E827" s="20">
        <f>IF(OR(D827="",$B$18=""),"",D827/$B$18)</f>
        <v/>
      </c>
      <c r="F827" s="29">
        <f>IF(OR(C827="",$B$18=""),"",C827*60/$B$18)</f>
        <v/>
      </c>
    </row>
    <row r="828">
      <c r="A828" s="26" t="n"/>
      <c r="B828" s="44" t="n"/>
      <c r="C828" s="45">
        <f>IF(B828="","",$B$15*(B828-$B$14))</f>
        <v/>
      </c>
      <c r="D828" s="46">
        <f>IF(OR(A828="",C828="",D827="",C827=""),"",D827+(C827+C828)/2*(A828-A827)*60)</f>
        <v/>
      </c>
      <c r="E828" s="20">
        <f>IF(OR(D828="",$B$18=""),"",D828/$B$18)</f>
        <v/>
      </c>
      <c r="F828" s="29">
        <f>IF(OR(C828="",$B$18=""),"",C828*60/$B$18)</f>
        <v/>
      </c>
    </row>
    <row r="829">
      <c r="A829" s="26" t="n"/>
      <c r="B829" s="44" t="n"/>
      <c r="C829" s="45">
        <f>IF(B829="","",$B$15*(B829-$B$14))</f>
        <v/>
      </c>
      <c r="D829" s="46">
        <f>IF(OR(A829="",C829="",D828="",C828=""),"",D828+(C828+C829)/2*(A829-A828)*60)</f>
        <v/>
      </c>
      <c r="E829" s="20">
        <f>IF(OR(D829="",$B$18=""),"",D829/$B$18)</f>
        <v/>
      </c>
      <c r="F829" s="29">
        <f>IF(OR(C829="",$B$18=""),"",C829*60/$B$18)</f>
        <v/>
      </c>
    </row>
    <row r="830">
      <c r="A830" s="26" t="n"/>
      <c r="B830" s="44" t="n"/>
      <c r="C830" s="45">
        <f>IF(B830="","",$B$15*(B830-$B$14))</f>
        <v/>
      </c>
      <c r="D830" s="46">
        <f>IF(OR(A830="",C830="",D829="",C829=""),"",D829+(C829+C830)/2*(A830-A829)*60)</f>
        <v/>
      </c>
      <c r="E830" s="20">
        <f>IF(OR(D830="",$B$18=""),"",D830/$B$18)</f>
        <v/>
      </c>
      <c r="F830" s="29">
        <f>IF(OR(C830="",$B$18=""),"",C830*60/$B$18)</f>
        <v/>
      </c>
    </row>
    <row r="831">
      <c r="A831" s="26" t="n"/>
      <c r="B831" s="44" t="n"/>
      <c r="C831" s="45">
        <f>IF(B831="","",$B$15*(B831-$B$14))</f>
        <v/>
      </c>
      <c r="D831" s="46">
        <f>IF(OR(A831="",C831="",D830="",C830=""),"",D830+(C830+C831)/2*(A831-A830)*60)</f>
        <v/>
      </c>
      <c r="E831" s="20">
        <f>IF(OR(D831="",$B$18=""),"",D831/$B$18)</f>
        <v/>
      </c>
      <c r="F831" s="29">
        <f>IF(OR(C831="",$B$18=""),"",C831*60/$B$18)</f>
        <v/>
      </c>
    </row>
    <row r="832">
      <c r="A832" s="26" t="n"/>
      <c r="B832" s="44" t="n"/>
      <c r="C832" s="45">
        <f>IF(B832="","",$B$15*(B832-$B$14))</f>
        <v/>
      </c>
      <c r="D832" s="46">
        <f>IF(OR(A832="",C832="",D831="",C831=""),"",D831+(C831+C832)/2*(A832-A831)*60)</f>
        <v/>
      </c>
      <c r="E832" s="20">
        <f>IF(OR(D832="",$B$18=""),"",D832/$B$18)</f>
        <v/>
      </c>
      <c r="F832" s="29">
        <f>IF(OR(C832="",$B$18=""),"",C832*60/$B$18)</f>
        <v/>
      </c>
    </row>
    <row r="833">
      <c r="A833" s="26" t="n"/>
      <c r="B833" s="44" t="n"/>
      <c r="C833" s="45">
        <f>IF(B833="","",$B$15*(B833-$B$14))</f>
        <v/>
      </c>
      <c r="D833" s="46">
        <f>IF(OR(A833="",C833="",D832="",C832=""),"",D832+(C832+C833)/2*(A833-A832)*60)</f>
        <v/>
      </c>
      <c r="E833" s="20">
        <f>IF(OR(D833="",$B$18=""),"",D833/$B$18)</f>
        <v/>
      </c>
      <c r="F833" s="29">
        <f>IF(OR(C833="",$B$18=""),"",C833*60/$B$18)</f>
        <v/>
      </c>
    </row>
    <row r="834">
      <c r="A834" s="26" t="n"/>
      <c r="B834" s="44" t="n"/>
      <c r="C834" s="45">
        <f>IF(B834="","",$B$15*(B834-$B$14))</f>
        <v/>
      </c>
      <c r="D834" s="46">
        <f>IF(OR(A834="",C834="",D833="",C833=""),"",D833+(C833+C834)/2*(A834-A833)*60)</f>
        <v/>
      </c>
      <c r="E834" s="20">
        <f>IF(OR(D834="",$B$18=""),"",D834/$B$18)</f>
        <v/>
      </c>
      <c r="F834" s="29">
        <f>IF(OR(C834="",$B$18=""),"",C834*60/$B$18)</f>
        <v/>
      </c>
    </row>
    <row r="835">
      <c r="A835" s="26" t="n"/>
      <c r="B835" s="44" t="n"/>
      <c r="C835" s="45">
        <f>IF(B835="","",$B$15*(B835-$B$14))</f>
        <v/>
      </c>
      <c r="D835" s="46">
        <f>IF(OR(A835="",C835="",D834="",C834=""),"",D834+(C834+C835)/2*(A835-A834)*60)</f>
        <v/>
      </c>
      <c r="E835" s="20">
        <f>IF(OR(D835="",$B$18=""),"",D835/$B$18)</f>
        <v/>
      </c>
      <c r="F835" s="29">
        <f>IF(OR(C835="",$B$18=""),"",C835*60/$B$18)</f>
        <v/>
      </c>
    </row>
    <row r="836">
      <c r="A836" s="26" t="n"/>
      <c r="B836" s="44" t="n"/>
      <c r="C836" s="45">
        <f>IF(B836="","",$B$15*(B836-$B$14))</f>
        <v/>
      </c>
      <c r="D836" s="46">
        <f>IF(OR(A836="",C836="",D835="",C835=""),"",D835+(C835+C836)/2*(A836-A835)*60)</f>
        <v/>
      </c>
      <c r="E836" s="20">
        <f>IF(OR(D836="",$B$18=""),"",D836/$B$18)</f>
        <v/>
      </c>
      <c r="F836" s="29">
        <f>IF(OR(C836="",$B$18=""),"",C836*60/$B$18)</f>
        <v/>
      </c>
    </row>
    <row r="837">
      <c r="A837" s="26" t="n"/>
      <c r="B837" s="44" t="n"/>
      <c r="C837" s="45">
        <f>IF(B837="","",$B$15*(B837-$B$14))</f>
        <v/>
      </c>
      <c r="D837" s="46">
        <f>IF(OR(A837="",C837="",D836="",C836=""),"",D836+(C836+C837)/2*(A837-A836)*60)</f>
        <v/>
      </c>
      <c r="E837" s="20">
        <f>IF(OR(D837="",$B$18=""),"",D837/$B$18)</f>
        <v/>
      </c>
      <c r="F837" s="29">
        <f>IF(OR(C837="",$B$18=""),"",C837*60/$B$18)</f>
        <v/>
      </c>
    </row>
    <row r="838">
      <c r="A838" s="26" t="n"/>
      <c r="B838" s="44" t="n"/>
      <c r="C838" s="45">
        <f>IF(B838="","",$B$15*(B838-$B$14))</f>
        <v/>
      </c>
      <c r="D838" s="46">
        <f>IF(OR(A838="",C838="",D837="",C837=""),"",D837+(C837+C838)/2*(A838-A837)*60)</f>
        <v/>
      </c>
      <c r="E838" s="20">
        <f>IF(OR(D838="",$B$18=""),"",D838/$B$18)</f>
        <v/>
      </c>
      <c r="F838" s="29">
        <f>IF(OR(C838="",$B$18=""),"",C838*60/$B$18)</f>
        <v/>
      </c>
    </row>
    <row r="839">
      <c r="A839" s="26" t="n"/>
      <c r="B839" s="44" t="n"/>
      <c r="C839" s="45">
        <f>IF(B839="","",$B$15*(B839-$B$14))</f>
        <v/>
      </c>
      <c r="D839" s="46">
        <f>IF(OR(A839="",C839="",D838="",C838=""),"",D838+(C838+C839)/2*(A839-A838)*60)</f>
        <v/>
      </c>
      <c r="E839" s="20">
        <f>IF(OR(D839="",$B$18=""),"",D839/$B$18)</f>
        <v/>
      </c>
      <c r="F839" s="29">
        <f>IF(OR(C839="",$B$18=""),"",C839*60/$B$18)</f>
        <v/>
      </c>
    </row>
    <row r="840">
      <c r="A840" s="26" t="n"/>
      <c r="B840" s="44" t="n"/>
      <c r="C840" s="45">
        <f>IF(B840="","",$B$15*(B840-$B$14))</f>
        <v/>
      </c>
      <c r="D840" s="46">
        <f>IF(OR(A840="",C840="",D839="",C839=""),"",D839+(C839+C840)/2*(A840-A839)*60)</f>
        <v/>
      </c>
      <c r="E840" s="20">
        <f>IF(OR(D840="",$B$18=""),"",D840/$B$18)</f>
        <v/>
      </c>
      <c r="F840" s="29">
        <f>IF(OR(C840="",$B$18=""),"",C840*60/$B$18)</f>
        <v/>
      </c>
    </row>
    <row r="841">
      <c r="A841" s="26" t="n"/>
      <c r="B841" s="44" t="n"/>
      <c r="C841" s="45">
        <f>IF(B841="","",$B$15*(B841-$B$14))</f>
        <v/>
      </c>
      <c r="D841" s="46">
        <f>IF(OR(A841="",C841="",D840="",C840=""),"",D840+(C840+C841)/2*(A841-A840)*60)</f>
        <v/>
      </c>
      <c r="E841" s="20">
        <f>IF(OR(D841="",$B$18=""),"",D841/$B$18)</f>
        <v/>
      </c>
      <c r="F841" s="29">
        <f>IF(OR(C841="",$B$18=""),"",C841*60/$B$18)</f>
        <v/>
      </c>
    </row>
    <row r="842">
      <c r="A842" s="26" t="n"/>
      <c r="B842" s="44" t="n"/>
      <c r="C842" s="45">
        <f>IF(B842="","",$B$15*(B842-$B$14))</f>
        <v/>
      </c>
      <c r="D842" s="46">
        <f>IF(OR(A842="",C842="",D841="",C841=""),"",D841+(C841+C842)/2*(A842-A841)*60)</f>
        <v/>
      </c>
      <c r="E842" s="20">
        <f>IF(OR(D842="",$B$18=""),"",D842/$B$18)</f>
        <v/>
      </c>
      <c r="F842" s="29">
        <f>IF(OR(C842="",$B$18=""),"",C842*60/$B$18)</f>
        <v/>
      </c>
    </row>
    <row r="843">
      <c r="A843" s="26" t="n"/>
      <c r="B843" s="44" t="n"/>
      <c r="C843" s="45">
        <f>IF(B843="","",$B$15*(B843-$B$14))</f>
        <v/>
      </c>
      <c r="D843" s="46">
        <f>IF(OR(A843="",C843="",D842="",C842=""),"",D842+(C842+C843)/2*(A843-A842)*60)</f>
        <v/>
      </c>
      <c r="E843" s="20">
        <f>IF(OR(D843="",$B$18=""),"",D843/$B$18)</f>
        <v/>
      </c>
      <c r="F843" s="29">
        <f>IF(OR(C843="",$B$18=""),"",C843*60/$B$18)</f>
        <v/>
      </c>
    </row>
    <row r="844">
      <c r="A844" s="26" t="n"/>
      <c r="B844" s="44" t="n"/>
      <c r="C844" s="45">
        <f>IF(B844="","",$B$15*(B844-$B$14))</f>
        <v/>
      </c>
      <c r="D844" s="46">
        <f>IF(OR(A844="",C844="",D843="",C843=""),"",D843+(C843+C844)/2*(A844-A843)*60)</f>
        <v/>
      </c>
      <c r="E844" s="20">
        <f>IF(OR(D844="",$B$18=""),"",D844/$B$18)</f>
        <v/>
      </c>
      <c r="F844" s="29">
        <f>IF(OR(C844="",$B$18=""),"",C844*60/$B$18)</f>
        <v/>
      </c>
    </row>
    <row r="845">
      <c r="A845" s="26" t="n"/>
      <c r="B845" s="44" t="n"/>
      <c r="C845" s="45">
        <f>IF(B845="","",$B$15*(B845-$B$14))</f>
        <v/>
      </c>
      <c r="D845" s="46">
        <f>IF(OR(A845="",C845="",D844="",C844=""),"",D844+(C844+C845)/2*(A845-A844)*60)</f>
        <v/>
      </c>
      <c r="E845" s="20">
        <f>IF(OR(D845="",$B$18=""),"",D845/$B$18)</f>
        <v/>
      </c>
      <c r="F845" s="29">
        <f>IF(OR(C845="",$B$18=""),"",C845*60/$B$18)</f>
        <v/>
      </c>
    </row>
    <row r="846">
      <c r="A846" s="26" t="n"/>
      <c r="B846" s="44" t="n"/>
      <c r="C846" s="45">
        <f>IF(B846="","",$B$15*(B846-$B$14))</f>
        <v/>
      </c>
      <c r="D846" s="46">
        <f>IF(OR(A846="",C846="",D845="",C845=""),"",D845+(C845+C846)/2*(A846-A845)*60)</f>
        <v/>
      </c>
      <c r="E846" s="20">
        <f>IF(OR(D846="",$B$18=""),"",D846/$B$18)</f>
        <v/>
      </c>
      <c r="F846" s="29">
        <f>IF(OR(C846="",$B$18=""),"",C846*60/$B$18)</f>
        <v/>
      </c>
    </row>
    <row r="847">
      <c r="A847" s="26" t="n"/>
      <c r="B847" s="44" t="n"/>
      <c r="C847" s="45">
        <f>IF(B847="","",$B$15*(B847-$B$14))</f>
        <v/>
      </c>
      <c r="D847" s="46">
        <f>IF(OR(A847="",C847="",D846="",C846=""),"",D846+(C846+C847)/2*(A847-A846)*60)</f>
        <v/>
      </c>
      <c r="E847" s="20">
        <f>IF(OR(D847="",$B$18=""),"",D847/$B$18)</f>
        <v/>
      </c>
      <c r="F847" s="29">
        <f>IF(OR(C847="",$B$18=""),"",C847*60/$B$18)</f>
        <v/>
      </c>
    </row>
    <row r="848">
      <c r="A848" s="26" t="n"/>
      <c r="B848" s="44" t="n"/>
      <c r="C848" s="45">
        <f>IF(B848="","",$B$15*(B848-$B$14))</f>
        <v/>
      </c>
      <c r="D848" s="46">
        <f>IF(OR(A848="",C848="",D847="",C847=""),"",D847+(C847+C848)/2*(A848-A847)*60)</f>
        <v/>
      </c>
      <c r="E848" s="20">
        <f>IF(OR(D848="",$B$18=""),"",D848/$B$18)</f>
        <v/>
      </c>
      <c r="F848" s="29">
        <f>IF(OR(C848="",$B$18=""),"",C848*60/$B$18)</f>
        <v/>
      </c>
    </row>
    <row r="849">
      <c r="A849" s="26" t="n"/>
      <c r="B849" s="44" t="n"/>
      <c r="C849" s="45">
        <f>IF(B849="","",$B$15*(B849-$B$14))</f>
        <v/>
      </c>
      <c r="D849" s="46">
        <f>IF(OR(A849="",C849="",D848="",C848=""),"",D848+(C848+C849)/2*(A849-A848)*60)</f>
        <v/>
      </c>
      <c r="E849" s="20">
        <f>IF(OR(D849="",$B$18=""),"",D849/$B$18)</f>
        <v/>
      </c>
      <c r="F849" s="29">
        <f>IF(OR(C849="",$B$18=""),"",C849*60/$B$18)</f>
        <v/>
      </c>
    </row>
    <row r="850">
      <c r="A850" s="26" t="n"/>
      <c r="B850" s="44" t="n"/>
      <c r="C850" s="45">
        <f>IF(B850="","",$B$15*(B850-$B$14))</f>
        <v/>
      </c>
      <c r="D850" s="46">
        <f>IF(OR(A850="",C850="",D849="",C849=""),"",D849+(C849+C850)/2*(A850-A849)*60)</f>
        <v/>
      </c>
      <c r="E850" s="20">
        <f>IF(OR(D850="",$B$18=""),"",D850/$B$18)</f>
        <v/>
      </c>
      <c r="F850" s="29">
        <f>IF(OR(C850="",$B$18=""),"",C850*60/$B$18)</f>
        <v/>
      </c>
    </row>
    <row r="851">
      <c r="A851" s="26" t="n"/>
      <c r="B851" s="44" t="n"/>
      <c r="C851" s="45">
        <f>IF(B851="","",$B$15*(B851-$B$14))</f>
        <v/>
      </c>
      <c r="D851" s="46">
        <f>IF(OR(A851="",C851="",D850="",C850=""),"",D850+(C850+C851)/2*(A851-A850)*60)</f>
        <v/>
      </c>
      <c r="E851" s="20">
        <f>IF(OR(D851="",$B$18=""),"",D851/$B$18)</f>
        <v/>
      </c>
      <c r="F851" s="29">
        <f>IF(OR(C851="",$B$18=""),"",C851*60/$B$18)</f>
        <v/>
      </c>
    </row>
    <row r="852">
      <c r="A852" s="26" t="n"/>
      <c r="B852" s="44" t="n"/>
      <c r="C852" s="45">
        <f>IF(B852="","",$B$15*(B852-$B$14))</f>
        <v/>
      </c>
      <c r="D852" s="46">
        <f>IF(OR(A852="",C852="",D851="",C851=""),"",D851+(C851+C852)/2*(A852-A851)*60)</f>
        <v/>
      </c>
      <c r="E852" s="20">
        <f>IF(OR(D852="",$B$18=""),"",D852/$B$18)</f>
        <v/>
      </c>
      <c r="F852" s="29">
        <f>IF(OR(C852="",$B$18=""),"",C852*60/$B$18)</f>
        <v/>
      </c>
    </row>
    <row r="853">
      <c r="A853" s="26" t="n"/>
      <c r="B853" s="44" t="n"/>
      <c r="C853" s="45">
        <f>IF(B853="","",$B$15*(B853-$B$14))</f>
        <v/>
      </c>
      <c r="D853" s="46">
        <f>IF(OR(A853="",C853="",D852="",C852=""),"",D852+(C852+C853)/2*(A853-A852)*60)</f>
        <v/>
      </c>
      <c r="E853" s="20">
        <f>IF(OR(D853="",$B$18=""),"",D853/$B$18)</f>
        <v/>
      </c>
      <c r="F853" s="29">
        <f>IF(OR(C853="",$B$18=""),"",C853*60/$B$18)</f>
        <v/>
      </c>
    </row>
    <row r="854">
      <c r="A854" s="26" t="n"/>
      <c r="B854" s="44" t="n"/>
      <c r="C854" s="45">
        <f>IF(B854="","",$B$15*(B854-$B$14))</f>
        <v/>
      </c>
      <c r="D854" s="46">
        <f>IF(OR(A854="",C854="",D853="",C853=""),"",D853+(C853+C854)/2*(A854-A853)*60)</f>
        <v/>
      </c>
      <c r="E854" s="20">
        <f>IF(OR(D854="",$B$18=""),"",D854/$B$18)</f>
        <v/>
      </c>
      <c r="F854" s="29">
        <f>IF(OR(C854="",$B$18=""),"",C854*60/$B$18)</f>
        <v/>
      </c>
    </row>
    <row r="855">
      <c r="A855" s="26" t="n"/>
      <c r="B855" s="44" t="n"/>
      <c r="C855" s="45">
        <f>IF(B855="","",$B$15*(B855-$B$14))</f>
        <v/>
      </c>
      <c r="D855" s="46">
        <f>IF(OR(A855="",C855="",D854="",C854=""),"",D854+(C854+C855)/2*(A855-A854)*60)</f>
        <v/>
      </c>
      <c r="E855" s="20">
        <f>IF(OR(D855="",$B$18=""),"",D855/$B$18)</f>
        <v/>
      </c>
      <c r="F855" s="29">
        <f>IF(OR(C855="",$B$18=""),"",C855*60/$B$18)</f>
        <v/>
      </c>
    </row>
    <row r="856">
      <c r="A856" s="26" t="n"/>
      <c r="B856" s="44" t="n"/>
      <c r="C856" s="45">
        <f>IF(B856="","",$B$15*(B856-$B$14))</f>
        <v/>
      </c>
      <c r="D856" s="46">
        <f>IF(OR(A856="",C856="",D855="",C855=""),"",D855+(C855+C856)/2*(A856-A855)*60)</f>
        <v/>
      </c>
      <c r="E856" s="20">
        <f>IF(OR(D856="",$B$18=""),"",D856/$B$18)</f>
        <v/>
      </c>
      <c r="F856" s="29">
        <f>IF(OR(C856="",$B$18=""),"",C856*60/$B$18)</f>
        <v/>
      </c>
    </row>
    <row r="857">
      <c r="A857" s="26" t="n"/>
      <c r="B857" s="44" t="n"/>
      <c r="C857" s="45">
        <f>IF(B857="","",$B$15*(B857-$B$14))</f>
        <v/>
      </c>
      <c r="D857" s="46">
        <f>IF(OR(A857="",C857="",D856="",C856=""),"",D856+(C856+C857)/2*(A857-A856)*60)</f>
        <v/>
      </c>
      <c r="E857" s="20">
        <f>IF(OR(D857="",$B$18=""),"",D857/$B$18)</f>
        <v/>
      </c>
      <c r="F857" s="29">
        <f>IF(OR(C857="",$B$18=""),"",C857*60/$B$18)</f>
        <v/>
      </c>
    </row>
    <row r="858">
      <c r="A858" s="26" t="n"/>
      <c r="B858" s="44" t="n"/>
      <c r="C858" s="45">
        <f>IF(B858="","",$B$15*(B858-$B$14))</f>
        <v/>
      </c>
      <c r="D858" s="46">
        <f>IF(OR(A858="",C858="",D857="",C857=""),"",D857+(C857+C858)/2*(A858-A857)*60)</f>
        <v/>
      </c>
      <c r="E858" s="20">
        <f>IF(OR(D858="",$B$18=""),"",D858/$B$18)</f>
        <v/>
      </c>
      <c r="F858" s="29">
        <f>IF(OR(C858="",$B$18=""),"",C858*60/$B$18)</f>
        <v/>
      </c>
    </row>
    <row r="859">
      <c r="A859" s="26" t="n"/>
      <c r="B859" s="44" t="n"/>
      <c r="C859" s="45">
        <f>IF(B859="","",$B$15*(B859-$B$14))</f>
        <v/>
      </c>
      <c r="D859" s="46">
        <f>IF(OR(A859="",C859="",D858="",C858=""),"",D858+(C858+C859)/2*(A859-A858)*60)</f>
        <v/>
      </c>
      <c r="E859" s="20">
        <f>IF(OR(D859="",$B$18=""),"",D859/$B$18)</f>
        <v/>
      </c>
      <c r="F859" s="29">
        <f>IF(OR(C859="",$B$18=""),"",C859*60/$B$18)</f>
        <v/>
      </c>
    </row>
    <row r="860">
      <c r="A860" s="26" t="n"/>
      <c r="B860" s="44" t="n"/>
      <c r="C860" s="45">
        <f>IF(B860="","",$B$15*(B860-$B$14))</f>
        <v/>
      </c>
      <c r="D860" s="46">
        <f>IF(OR(A860="",C860="",D859="",C859=""),"",D859+(C859+C860)/2*(A860-A859)*60)</f>
        <v/>
      </c>
      <c r="E860" s="20">
        <f>IF(OR(D860="",$B$18=""),"",D860/$B$18)</f>
        <v/>
      </c>
      <c r="F860" s="29">
        <f>IF(OR(C860="",$B$18=""),"",C860*60/$B$18)</f>
        <v/>
      </c>
    </row>
    <row r="861">
      <c r="A861" s="26" t="n"/>
      <c r="B861" s="44" t="n"/>
      <c r="C861" s="45">
        <f>IF(B861="","",$B$15*(B861-$B$14))</f>
        <v/>
      </c>
      <c r="D861" s="46">
        <f>IF(OR(A861="",C861="",D860="",C860=""),"",D860+(C860+C861)/2*(A861-A860)*60)</f>
        <v/>
      </c>
      <c r="E861" s="20">
        <f>IF(OR(D861="",$B$18=""),"",D861/$B$18)</f>
        <v/>
      </c>
      <c r="F861" s="29">
        <f>IF(OR(C861="",$B$18=""),"",C861*60/$B$18)</f>
        <v/>
      </c>
    </row>
    <row r="862">
      <c r="A862" s="26" t="n"/>
      <c r="B862" s="44" t="n"/>
      <c r="C862" s="45">
        <f>IF(B862="","",$B$15*(B862-$B$14))</f>
        <v/>
      </c>
      <c r="D862" s="46">
        <f>IF(OR(A862="",C862="",D861="",C861=""),"",D861+(C861+C862)/2*(A862-A861)*60)</f>
        <v/>
      </c>
      <c r="E862" s="20">
        <f>IF(OR(D862="",$B$18=""),"",D862/$B$18)</f>
        <v/>
      </c>
      <c r="F862" s="29">
        <f>IF(OR(C862="",$B$18=""),"",C862*60/$B$18)</f>
        <v/>
      </c>
    </row>
    <row r="863">
      <c r="A863" s="26" t="n"/>
      <c r="B863" s="44" t="n"/>
      <c r="C863" s="45">
        <f>IF(B863="","",$B$15*(B863-$B$14))</f>
        <v/>
      </c>
      <c r="D863" s="46">
        <f>IF(OR(A863="",C863="",D862="",C862=""),"",D862+(C862+C863)/2*(A863-A862)*60)</f>
        <v/>
      </c>
      <c r="E863" s="20">
        <f>IF(OR(D863="",$B$18=""),"",D863/$B$18)</f>
        <v/>
      </c>
      <c r="F863" s="29">
        <f>IF(OR(C863="",$B$18=""),"",C863*60/$B$18)</f>
        <v/>
      </c>
    </row>
    <row r="864">
      <c r="A864" s="26" t="n"/>
      <c r="B864" s="44" t="n"/>
      <c r="C864" s="45">
        <f>IF(B864="","",$B$15*(B864-$B$14))</f>
        <v/>
      </c>
      <c r="D864" s="46">
        <f>IF(OR(A864="",C864="",D863="",C863=""),"",D863+(C863+C864)/2*(A864-A863)*60)</f>
        <v/>
      </c>
      <c r="E864" s="20">
        <f>IF(OR(D864="",$B$18=""),"",D864/$B$18)</f>
        <v/>
      </c>
      <c r="F864" s="29">
        <f>IF(OR(C864="",$B$18=""),"",C864*60/$B$18)</f>
        <v/>
      </c>
    </row>
    <row r="865">
      <c r="A865" s="26" t="n"/>
      <c r="B865" s="44" t="n"/>
      <c r="C865" s="45">
        <f>IF(B865="","",$B$15*(B865-$B$14))</f>
        <v/>
      </c>
      <c r="D865" s="46">
        <f>IF(OR(A865="",C865="",D864="",C864=""),"",D864+(C864+C865)/2*(A865-A864)*60)</f>
        <v/>
      </c>
      <c r="E865" s="20">
        <f>IF(OR(D865="",$B$18=""),"",D865/$B$18)</f>
        <v/>
      </c>
      <c r="F865" s="29">
        <f>IF(OR(C865="",$B$18=""),"",C865*60/$B$18)</f>
        <v/>
      </c>
    </row>
    <row r="866">
      <c r="A866" s="26" t="n"/>
      <c r="B866" s="44" t="n"/>
      <c r="C866" s="45">
        <f>IF(B866="","",$B$15*(B866-$B$14))</f>
        <v/>
      </c>
      <c r="D866" s="46">
        <f>IF(OR(A866="",C866="",D865="",C865=""),"",D865+(C865+C866)/2*(A866-A865)*60)</f>
        <v/>
      </c>
      <c r="E866" s="20">
        <f>IF(OR(D866="",$B$18=""),"",D866/$B$18)</f>
        <v/>
      </c>
      <c r="F866" s="29">
        <f>IF(OR(C866="",$B$18=""),"",C866*60/$B$18)</f>
        <v/>
      </c>
    </row>
    <row r="867">
      <c r="A867" s="26" t="n"/>
      <c r="B867" s="44" t="n"/>
      <c r="C867" s="45">
        <f>IF(B867="","",$B$15*(B867-$B$14))</f>
        <v/>
      </c>
      <c r="D867" s="46">
        <f>IF(OR(A867="",C867="",D866="",C866=""),"",D866+(C866+C867)/2*(A867-A866)*60)</f>
        <v/>
      </c>
      <c r="E867" s="20">
        <f>IF(OR(D867="",$B$18=""),"",D867/$B$18)</f>
        <v/>
      </c>
      <c r="F867" s="29">
        <f>IF(OR(C867="",$B$18=""),"",C867*60/$B$18)</f>
        <v/>
      </c>
    </row>
    <row r="868">
      <c r="A868" s="26" t="n"/>
      <c r="B868" s="44" t="n"/>
      <c r="C868" s="45">
        <f>IF(B868="","",$B$15*(B868-$B$14))</f>
        <v/>
      </c>
      <c r="D868" s="46">
        <f>IF(OR(A868="",C868="",D867="",C867=""),"",D867+(C867+C868)/2*(A868-A867)*60)</f>
        <v/>
      </c>
      <c r="E868" s="20">
        <f>IF(OR(D868="",$B$18=""),"",D868/$B$18)</f>
        <v/>
      </c>
      <c r="F868" s="29">
        <f>IF(OR(C868="",$B$18=""),"",C868*60/$B$18)</f>
        <v/>
      </c>
    </row>
    <row r="869">
      <c r="A869" s="26" t="n"/>
      <c r="B869" s="44" t="n"/>
      <c r="C869" s="45">
        <f>IF(B869="","",$B$15*(B869-$B$14))</f>
        <v/>
      </c>
      <c r="D869" s="46">
        <f>IF(OR(A869="",C869="",D868="",C868=""),"",D868+(C868+C869)/2*(A869-A868)*60)</f>
        <v/>
      </c>
      <c r="E869" s="20">
        <f>IF(OR(D869="",$B$18=""),"",D869/$B$18)</f>
        <v/>
      </c>
      <c r="F869" s="29">
        <f>IF(OR(C869="",$B$18=""),"",C869*60/$B$18)</f>
        <v/>
      </c>
    </row>
    <row r="870">
      <c r="A870" s="26" t="n"/>
      <c r="B870" s="44" t="n"/>
      <c r="C870" s="45">
        <f>IF(B870="","",$B$15*(B870-$B$14))</f>
        <v/>
      </c>
      <c r="D870" s="46">
        <f>IF(OR(A870="",C870="",D869="",C869=""),"",D869+(C869+C870)/2*(A870-A869)*60)</f>
        <v/>
      </c>
      <c r="E870" s="20">
        <f>IF(OR(D870="",$B$18=""),"",D870/$B$18)</f>
        <v/>
      </c>
      <c r="F870" s="29">
        <f>IF(OR(C870="",$B$18=""),"",C870*60/$B$18)</f>
        <v/>
      </c>
    </row>
    <row r="871">
      <c r="A871" s="26" t="n"/>
      <c r="B871" s="44" t="n"/>
      <c r="C871" s="45">
        <f>IF(B871="","",$B$15*(B871-$B$14))</f>
        <v/>
      </c>
      <c r="D871" s="46">
        <f>IF(OR(A871="",C871="",D870="",C870=""),"",D870+(C870+C871)/2*(A871-A870)*60)</f>
        <v/>
      </c>
      <c r="E871" s="20">
        <f>IF(OR(D871="",$B$18=""),"",D871/$B$18)</f>
        <v/>
      </c>
      <c r="F871" s="29">
        <f>IF(OR(C871="",$B$18=""),"",C871*60/$B$18)</f>
        <v/>
      </c>
    </row>
    <row r="872">
      <c r="A872" s="26" t="n"/>
      <c r="B872" s="44" t="n"/>
      <c r="C872" s="45">
        <f>IF(B872="","",$B$15*(B872-$B$14))</f>
        <v/>
      </c>
      <c r="D872" s="46">
        <f>IF(OR(A872="",C872="",D871="",C871=""),"",D871+(C871+C872)/2*(A872-A871)*60)</f>
        <v/>
      </c>
      <c r="E872" s="20">
        <f>IF(OR(D872="",$B$18=""),"",D872/$B$18)</f>
        <v/>
      </c>
      <c r="F872" s="29">
        <f>IF(OR(C872="",$B$18=""),"",C872*60/$B$18)</f>
        <v/>
      </c>
    </row>
    <row r="873">
      <c r="A873" s="26" t="n"/>
      <c r="B873" s="44" t="n"/>
      <c r="C873" s="45">
        <f>IF(B873="","",$B$15*(B873-$B$14))</f>
        <v/>
      </c>
      <c r="D873" s="46">
        <f>IF(OR(A873="",C873="",D872="",C872=""),"",D872+(C872+C873)/2*(A873-A872)*60)</f>
        <v/>
      </c>
      <c r="E873" s="20">
        <f>IF(OR(D873="",$B$18=""),"",D873/$B$18)</f>
        <v/>
      </c>
      <c r="F873" s="29">
        <f>IF(OR(C873="",$B$18=""),"",C873*60/$B$18)</f>
        <v/>
      </c>
    </row>
    <row r="874">
      <c r="A874" s="26" t="n"/>
      <c r="B874" s="44" t="n"/>
      <c r="C874" s="45">
        <f>IF(B874="","",$B$15*(B874-$B$14))</f>
        <v/>
      </c>
      <c r="D874" s="46">
        <f>IF(OR(A874="",C874="",D873="",C873=""),"",D873+(C873+C874)/2*(A874-A873)*60)</f>
        <v/>
      </c>
      <c r="E874" s="20">
        <f>IF(OR(D874="",$B$18=""),"",D874/$B$18)</f>
        <v/>
      </c>
      <c r="F874" s="29">
        <f>IF(OR(C874="",$B$18=""),"",C874*60/$B$18)</f>
        <v/>
      </c>
    </row>
    <row r="875">
      <c r="A875" s="26" t="n"/>
      <c r="B875" s="44" t="n"/>
      <c r="C875" s="45">
        <f>IF(B875="","",$B$15*(B875-$B$14))</f>
        <v/>
      </c>
      <c r="D875" s="46">
        <f>IF(OR(A875="",C875="",D874="",C874=""),"",D874+(C874+C875)/2*(A875-A874)*60)</f>
        <v/>
      </c>
      <c r="E875" s="20">
        <f>IF(OR(D875="",$B$18=""),"",D875/$B$18)</f>
        <v/>
      </c>
      <c r="F875" s="29">
        <f>IF(OR(C875="",$B$18=""),"",C875*60/$B$18)</f>
        <v/>
      </c>
    </row>
    <row r="876">
      <c r="A876" s="26" t="n"/>
      <c r="B876" s="44" t="n"/>
      <c r="C876" s="45">
        <f>IF(B876="","",$B$15*(B876-$B$14))</f>
        <v/>
      </c>
      <c r="D876" s="46">
        <f>IF(OR(A876="",C876="",D875="",C875=""),"",D875+(C875+C876)/2*(A876-A875)*60)</f>
        <v/>
      </c>
      <c r="E876" s="20">
        <f>IF(OR(D876="",$B$18=""),"",D876/$B$18)</f>
        <v/>
      </c>
      <c r="F876" s="29">
        <f>IF(OR(C876="",$B$18=""),"",C876*60/$B$18)</f>
        <v/>
      </c>
    </row>
    <row r="877">
      <c r="A877" s="26" t="n"/>
      <c r="B877" s="44" t="n"/>
      <c r="C877" s="45">
        <f>IF(B877="","",$B$15*(B877-$B$14))</f>
        <v/>
      </c>
      <c r="D877" s="46">
        <f>IF(OR(A877="",C877="",D876="",C876=""),"",D876+(C876+C877)/2*(A877-A876)*60)</f>
        <v/>
      </c>
      <c r="E877" s="20">
        <f>IF(OR(D877="",$B$18=""),"",D877/$B$18)</f>
        <v/>
      </c>
      <c r="F877" s="29">
        <f>IF(OR(C877="",$B$18=""),"",C877*60/$B$18)</f>
        <v/>
      </c>
    </row>
    <row r="878">
      <c r="A878" s="26" t="n"/>
      <c r="B878" s="44" t="n"/>
      <c r="C878" s="45">
        <f>IF(B878="","",$B$15*(B878-$B$14))</f>
        <v/>
      </c>
      <c r="D878" s="46">
        <f>IF(OR(A878="",C878="",D877="",C877=""),"",D877+(C877+C878)/2*(A878-A877)*60)</f>
        <v/>
      </c>
      <c r="E878" s="20">
        <f>IF(OR(D878="",$B$18=""),"",D878/$B$18)</f>
        <v/>
      </c>
      <c r="F878" s="29">
        <f>IF(OR(C878="",$B$18=""),"",C878*60/$B$18)</f>
        <v/>
      </c>
    </row>
    <row r="879">
      <c r="A879" s="26" t="n"/>
      <c r="B879" s="44" t="n"/>
      <c r="C879" s="45">
        <f>IF(B879="","",$B$15*(B879-$B$14))</f>
        <v/>
      </c>
      <c r="D879" s="46">
        <f>IF(OR(A879="",C879="",D878="",C878=""),"",D878+(C878+C879)/2*(A879-A878)*60)</f>
        <v/>
      </c>
      <c r="E879" s="20">
        <f>IF(OR(D879="",$B$18=""),"",D879/$B$18)</f>
        <v/>
      </c>
      <c r="F879" s="29">
        <f>IF(OR(C879="",$B$18=""),"",C879*60/$B$18)</f>
        <v/>
      </c>
    </row>
    <row r="880">
      <c r="A880" s="26" t="n"/>
      <c r="B880" s="44" t="n"/>
      <c r="C880" s="45">
        <f>IF(B880="","",$B$15*(B880-$B$14))</f>
        <v/>
      </c>
      <c r="D880" s="46">
        <f>IF(OR(A880="",C880="",D879="",C879=""),"",D879+(C879+C880)/2*(A880-A879)*60)</f>
        <v/>
      </c>
      <c r="E880" s="20">
        <f>IF(OR(D880="",$B$18=""),"",D880/$B$18)</f>
        <v/>
      </c>
      <c r="F880" s="29">
        <f>IF(OR(C880="",$B$18=""),"",C880*60/$B$18)</f>
        <v/>
      </c>
    </row>
    <row r="881">
      <c r="A881" s="26" t="n"/>
      <c r="B881" s="44" t="n"/>
      <c r="C881" s="45">
        <f>IF(B881="","",$B$15*(B881-$B$14))</f>
        <v/>
      </c>
      <c r="D881" s="46">
        <f>IF(OR(A881="",C881="",D880="",C880=""),"",D880+(C880+C881)/2*(A881-A880)*60)</f>
        <v/>
      </c>
      <c r="E881" s="20">
        <f>IF(OR(D881="",$B$18=""),"",D881/$B$18)</f>
        <v/>
      </c>
      <c r="F881" s="29">
        <f>IF(OR(C881="",$B$18=""),"",C881*60/$B$18)</f>
        <v/>
      </c>
    </row>
    <row r="882">
      <c r="A882" s="26" t="n"/>
      <c r="B882" s="44" t="n"/>
      <c r="C882" s="45">
        <f>IF(B882="","",$B$15*(B882-$B$14))</f>
        <v/>
      </c>
      <c r="D882" s="46">
        <f>IF(OR(A882="",C882="",D881="",C881=""),"",D881+(C881+C882)/2*(A882-A881)*60)</f>
        <v/>
      </c>
      <c r="E882" s="20">
        <f>IF(OR(D882="",$B$18=""),"",D882/$B$18)</f>
        <v/>
      </c>
      <c r="F882" s="29">
        <f>IF(OR(C882="",$B$18=""),"",C882*60/$B$18)</f>
        <v/>
      </c>
    </row>
    <row r="883">
      <c r="A883" s="26" t="n"/>
      <c r="B883" s="44" t="n"/>
      <c r="C883" s="45">
        <f>IF(B883="","",$B$15*(B883-$B$14))</f>
        <v/>
      </c>
      <c r="D883" s="46">
        <f>IF(OR(A883="",C883="",D882="",C882=""),"",D882+(C882+C883)/2*(A883-A882)*60)</f>
        <v/>
      </c>
      <c r="E883" s="20">
        <f>IF(OR(D883="",$B$18=""),"",D883/$B$18)</f>
        <v/>
      </c>
      <c r="F883" s="29">
        <f>IF(OR(C883="",$B$18=""),"",C883*60/$B$18)</f>
        <v/>
      </c>
    </row>
    <row r="884">
      <c r="A884" s="26" t="n"/>
      <c r="B884" s="44" t="n"/>
      <c r="C884" s="45">
        <f>IF(B884="","",$B$15*(B884-$B$14))</f>
        <v/>
      </c>
      <c r="D884" s="46">
        <f>IF(OR(A884="",C884="",D883="",C883=""),"",D883+(C883+C884)/2*(A884-A883)*60)</f>
        <v/>
      </c>
      <c r="E884" s="20">
        <f>IF(OR(D884="",$B$18=""),"",D884/$B$18)</f>
        <v/>
      </c>
      <c r="F884" s="29">
        <f>IF(OR(C884="",$B$18=""),"",C884*60/$B$18)</f>
        <v/>
      </c>
    </row>
    <row r="885">
      <c r="A885" s="26" t="n"/>
      <c r="B885" s="44" t="n"/>
      <c r="C885" s="45">
        <f>IF(B885="","",$B$15*(B885-$B$14))</f>
        <v/>
      </c>
      <c r="D885" s="46">
        <f>IF(OR(A885="",C885="",D884="",C884=""),"",D884+(C884+C885)/2*(A885-A884)*60)</f>
        <v/>
      </c>
      <c r="E885" s="20">
        <f>IF(OR(D885="",$B$18=""),"",D885/$B$18)</f>
        <v/>
      </c>
      <c r="F885" s="29">
        <f>IF(OR(C885="",$B$18=""),"",C885*60/$B$18)</f>
        <v/>
      </c>
    </row>
    <row r="886">
      <c r="A886" s="26" t="n"/>
      <c r="B886" s="44" t="n"/>
      <c r="C886" s="45">
        <f>IF(B886="","",$B$15*(B886-$B$14))</f>
        <v/>
      </c>
      <c r="D886" s="46">
        <f>IF(OR(A886="",C886="",D885="",C885=""),"",D885+(C885+C886)/2*(A886-A885)*60)</f>
        <v/>
      </c>
      <c r="E886" s="20">
        <f>IF(OR(D886="",$B$18=""),"",D886/$B$18)</f>
        <v/>
      </c>
      <c r="F886" s="29">
        <f>IF(OR(C886="",$B$18=""),"",C886*60/$B$18)</f>
        <v/>
      </c>
    </row>
    <row r="887">
      <c r="A887" s="26" t="n"/>
      <c r="B887" s="44" t="n"/>
      <c r="C887" s="45">
        <f>IF(B887="","",$B$15*(B887-$B$14))</f>
        <v/>
      </c>
      <c r="D887" s="46">
        <f>IF(OR(A887="",C887="",D886="",C886=""),"",D886+(C886+C887)/2*(A887-A886)*60)</f>
        <v/>
      </c>
      <c r="E887" s="20">
        <f>IF(OR(D887="",$B$18=""),"",D887/$B$18)</f>
        <v/>
      </c>
      <c r="F887" s="29">
        <f>IF(OR(C887="",$B$18=""),"",C887*60/$B$18)</f>
        <v/>
      </c>
    </row>
    <row r="888">
      <c r="A888" s="26" t="n"/>
      <c r="B888" s="44" t="n"/>
      <c r="C888" s="45">
        <f>IF(B888="","",$B$15*(B888-$B$14))</f>
        <v/>
      </c>
      <c r="D888" s="46">
        <f>IF(OR(A888="",C888="",D887="",C887=""),"",D887+(C887+C888)/2*(A888-A887)*60)</f>
        <v/>
      </c>
      <c r="E888" s="20">
        <f>IF(OR(D888="",$B$18=""),"",D888/$B$18)</f>
        <v/>
      </c>
      <c r="F888" s="29">
        <f>IF(OR(C888="",$B$18=""),"",C888*60/$B$18)</f>
        <v/>
      </c>
    </row>
    <row r="889">
      <c r="A889" s="26" t="n"/>
      <c r="B889" s="44" t="n"/>
      <c r="C889" s="45">
        <f>IF(B889="","",$B$15*(B889-$B$14))</f>
        <v/>
      </c>
      <c r="D889" s="46">
        <f>IF(OR(A889="",C889="",D888="",C888=""),"",D888+(C888+C889)/2*(A889-A888)*60)</f>
        <v/>
      </c>
      <c r="E889" s="20">
        <f>IF(OR(D889="",$B$18=""),"",D889/$B$18)</f>
        <v/>
      </c>
      <c r="F889" s="29">
        <f>IF(OR(C889="",$B$18=""),"",C889*60/$B$18)</f>
        <v/>
      </c>
    </row>
    <row r="890">
      <c r="A890" s="26" t="n"/>
      <c r="B890" s="44" t="n"/>
      <c r="C890" s="45">
        <f>IF(B890="","",$B$15*(B890-$B$14))</f>
        <v/>
      </c>
      <c r="D890" s="46">
        <f>IF(OR(A890="",C890="",D889="",C889=""),"",D889+(C889+C890)/2*(A890-A889)*60)</f>
        <v/>
      </c>
      <c r="E890" s="20">
        <f>IF(OR(D890="",$B$18=""),"",D890/$B$18)</f>
        <v/>
      </c>
      <c r="F890" s="29">
        <f>IF(OR(C890="",$B$18=""),"",C890*60/$B$18)</f>
        <v/>
      </c>
    </row>
    <row r="891">
      <c r="A891" s="26" t="n"/>
      <c r="B891" s="44" t="n"/>
      <c r="C891" s="45">
        <f>IF(B891="","",$B$15*(B891-$B$14))</f>
        <v/>
      </c>
      <c r="D891" s="46">
        <f>IF(OR(A891="",C891="",D890="",C890=""),"",D890+(C890+C891)/2*(A891-A890)*60)</f>
        <v/>
      </c>
      <c r="E891" s="20">
        <f>IF(OR(D891="",$B$18=""),"",D891/$B$18)</f>
        <v/>
      </c>
      <c r="F891" s="29">
        <f>IF(OR(C891="",$B$18=""),"",C891*60/$B$18)</f>
        <v/>
      </c>
    </row>
    <row r="892">
      <c r="A892" s="26" t="n"/>
      <c r="B892" s="44" t="n"/>
      <c r="C892" s="45">
        <f>IF(B892="","",$B$15*(B892-$B$14))</f>
        <v/>
      </c>
      <c r="D892" s="46">
        <f>IF(OR(A892="",C892="",D891="",C891=""),"",D891+(C891+C892)/2*(A892-A891)*60)</f>
        <v/>
      </c>
      <c r="E892" s="20">
        <f>IF(OR(D892="",$B$18=""),"",D892/$B$18)</f>
        <v/>
      </c>
      <c r="F892" s="29">
        <f>IF(OR(C892="",$B$18=""),"",C892*60/$B$18)</f>
        <v/>
      </c>
    </row>
    <row r="893">
      <c r="A893" s="26" t="n"/>
      <c r="B893" s="44" t="n"/>
      <c r="C893" s="45">
        <f>IF(B893="","",$B$15*(B893-$B$14))</f>
        <v/>
      </c>
      <c r="D893" s="46">
        <f>IF(OR(A893="",C893="",D892="",C892=""),"",D892+(C892+C893)/2*(A893-A892)*60)</f>
        <v/>
      </c>
      <c r="E893" s="20">
        <f>IF(OR(D893="",$B$18=""),"",D893/$B$18)</f>
        <v/>
      </c>
      <c r="F893" s="29">
        <f>IF(OR(C893="",$B$18=""),"",C893*60/$B$18)</f>
        <v/>
      </c>
    </row>
    <row r="894">
      <c r="A894" s="26" t="n"/>
      <c r="B894" s="44" t="n"/>
      <c r="C894" s="45">
        <f>IF(B894="","",$B$15*(B894-$B$14))</f>
        <v/>
      </c>
      <c r="D894" s="46">
        <f>IF(OR(A894="",C894="",D893="",C893=""),"",D893+(C893+C894)/2*(A894-A893)*60)</f>
        <v/>
      </c>
      <c r="E894" s="20">
        <f>IF(OR(D894="",$B$18=""),"",D894/$B$18)</f>
        <v/>
      </c>
      <c r="F894" s="29">
        <f>IF(OR(C894="",$B$18=""),"",C894*60/$B$18)</f>
        <v/>
      </c>
    </row>
    <row r="895">
      <c r="A895" s="26" t="n"/>
      <c r="B895" s="44" t="n"/>
      <c r="C895" s="45">
        <f>IF(B895="","",$B$15*(B895-$B$14))</f>
        <v/>
      </c>
      <c r="D895" s="46">
        <f>IF(OR(A895="",C895="",D894="",C894=""),"",D894+(C894+C895)/2*(A895-A894)*60)</f>
        <v/>
      </c>
      <c r="E895" s="20">
        <f>IF(OR(D895="",$B$18=""),"",D895/$B$18)</f>
        <v/>
      </c>
      <c r="F895" s="29">
        <f>IF(OR(C895="",$B$18=""),"",C895*60/$B$18)</f>
        <v/>
      </c>
    </row>
    <row r="896">
      <c r="A896" s="26" t="n"/>
      <c r="B896" s="44" t="n"/>
      <c r="C896" s="45">
        <f>IF(B896="","",$B$15*(B896-$B$14))</f>
        <v/>
      </c>
      <c r="D896" s="46">
        <f>IF(OR(A896="",C896="",D895="",C895=""),"",D895+(C895+C896)/2*(A896-A895)*60)</f>
        <v/>
      </c>
      <c r="E896" s="20">
        <f>IF(OR(D896="",$B$18=""),"",D896/$B$18)</f>
        <v/>
      </c>
      <c r="F896" s="29">
        <f>IF(OR(C896="",$B$18=""),"",C896*60/$B$18)</f>
        <v/>
      </c>
    </row>
    <row r="897">
      <c r="A897" s="26" t="n"/>
      <c r="B897" s="44" t="n"/>
      <c r="C897" s="45">
        <f>IF(B897="","",$B$15*(B897-$B$14))</f>
        <v/>
      </c>
      <c r="D897" s="46">
        <f>IF(OR(A897="",C897="",D896="",C896=""),"",D896+(C896+C897)/2*(A897-A896)*60)</f>
        <v/>
      </c>
      <c r="E897" s="20">
        <f>IF(OR(D897="",$B$18=""),"",D897/$B$18)</f>
        <v/>
      </c>
      <c r="F897" s="29">
        <f>IF(OR(C897="",$B$18=""),"",C897*60/$B$18)</f>
        <v/>
      </c>
    </row>
    <row r="898">
      <c r="A898" s="26" t="n"/>
      <c r="B898" s="44" t="n"/>
      <c r="C898" s="45">
        <f>IF(B898="","",$B$15*(B898-$B$14))</f>
        <v/>
      </c>
      <c r="D898" s="46">
        <f>IF(OR(A898="",C898="",D897="",C897=""),"",D897+(C897+C898)/2*(A898-A897)*60)</f>
        <v/>
      </c>
      <c r="E898" s="20">
        <f>IF(OR(D898="",$B$18=""),"",D898/$B$18)</f>
        <v/>
      </c>
      <c r="F898" s="29">
        <f>IF(OR(C898="",$B$18=""),"",C898*60/$B$18)</f>
        <v/>
      </c>
    </row>
    <row r="899">
      <c r="A899" s="26" t="n"/>
      <c r="B899" s="44" t="n"/>
      <c r="C899" s="45">
        <f>IF(B899="","",$B$15*(B899-$B$14))</f>
        <v/>
      </c>
      <c r="D899" s="46">
        <f>IF(OR(A899="",C899="",D898="",C898=""),"",D898+(C898+C899)/2*(A899-A898)*60)</f>
        <v/>
      </c>
      <c r="E899" s="20">
        <f>IF(OR(D899="",$B$18=""),"",D899/$B$18)</f>
        <v/>
      </c>
      <c r="F899" s="29">
        <f>IF(OR(C899="",$B$18=""),"",C899*60/$B$18)</f>
        <v/>
      </c>
    </row>
    <row r="900">
      <c r="A900" s="26" t="n"/>
      <c r="B900" s="44" t="n"/>
      <c r="C900" s="45">
        <f>IF(B900="","",$B$15*(B900-$B$14))</f>
        <v/>
      </c>
      <c r="D900" s="46">
        <f>IF(OR(A900="",C900="",D899="",C899=""),"",D899+(C899+C900)/2*(A900-A899)*60)</f>
        <v/>
      </c>
      <c r="E900" s="20">
        <f>IF(OR(D900="",$B$18=""),"",D900/$B$18)</f>
        <v/>
      </c>
      <c r="F900" s="29">
        <f>IF(OR(C900="",$B$18=""),"",C900*60/$B$18)</f>
        <v/>
      </c>
    </row>
    <row r="901">
      <c r="A901" s="26" t="n"/>
      <c r="B901" s="44" t="n"/>
      <c r="C901" s="45">
        <f>IF(B901="","",$B$15*(B901-$B$14))</f>
        <v/>
      </c>
      <c r="D901" s="46">
        <f>IF(OR(A901="",C901="",D900="",C900=""),"",D900+(C900+C901)/2*(A901-A900)*60)</f>
        <v/>
      </c>
      <c r="E901" s="20">
        <f>IF(OR(D901="",$B$18=""),"",D901/$B$18)</f>
        <v/>
      </c>
      <c r="F901" s="29">
        <f>IF(OR(C901="",$B$18=""),"",C901*60/$B$18)</f>
        <v/>
      </c>
    </row>
    <row r="902">
      <c r="A902" s="26" t="n"/>
      <c r="B902" s="44" t="n"/>
      <c r="C902" s="45">
        <f>IF(B902="","",$B$15*(B902-$B$14))</f>
        <v/>
      </c>
      <c r="D902" s="46">
        <f>IF(OR(A902="",C902="",D901="",C901=""),"",D901+(C901+C902)/2*(A902-A901)*60)</f>
        <v/>
      </c>
      <c r="E902" s="20">
        <f>IF(OR(D902="",$B$18=""),"",D902/$B$18)</f>
        <v/>
      </c>
      <c r="F902" s="29">
        <f>IF(OR(C902="",$B$18=""),"",C902*60/$B$18)</f>
        <v/>
      </c>
    </row>
    <row r="903">
      <c r="A903" s="26" t="n"/>
      <c r="B903" s="44" t="n"/>
      <c r="C903" s="45">
        <f>IF(B903="","",$B$15*(B903-$B$14))</f>
        <v/>
      </c>
      <c r="D903" s="46">
        <f>IF(OR(A903="",C903="",D902="",C902=""),"",D902+(C902+C903)/2*(A903-A902)*60)</f>
        <v/>
      </c>
      <c r="E903" s="20">
        <f>IF(OR(D903="",$B$18=""),"",D903/$B$18)</f>
        <v/>
      </c>
      <c r="F903" s="29">
        <f>IF(OR(C903="",$B$18=""),"",C903*60/$B$18)</f>
        <v/>
      </c>
    </row>
    <row r="904">
      <c r="A904" s="26" t="n"/>
      <c r="B904" s="44" t="n"/>
      <c r="C904" s="45">
        <f>IF(B904="","",$B$15*(B904-$B$14))</f>
        <v/>
      </c>
      <c r="D904" s="46">
        <f>IF(OR(A904="",C904="",D903="",C903=""),"",D903+(C903+C904)/2*(A904-A903)*60)</f>
        <v/>
      </c>
      <c r="E904" s="20">
        <f>IF(OR(D904="",$B$18=""),"",D904/$B$18)</f>
        <v/>
      </c>
      <c r="F904" s="29">
        <f>IF(OR(C904="",$B$18=""),"",C904*60/$B$18)</f>
        <v/>
      </c>
    </row>
    <row r="905">
      <c r="A905" s="26" t="n"/>
      <c r="B905" s="44" t="n"/>
      <c r="C905" s="45">
        <f>IF(B905="","",$B$15*(B905-$B$14))</f>
        <v/>
      </c>
      <c r="D905" s="46">
        <f>IF(OR(A905="",C905="",D904="",C904=""),"",D904+(C904+C905)/2*(A905-A904)*60)</f>
        <v/>
      </c>
      <c r="E905" s="20">
        <f>IF(OR(D905="",$B$18=""),"",D905/$B$18)</f>
        <v/>
      </c>
      <c r="F905" s="29">
        <f>IF(OR(C905="",$B$18=""),"",C905*60/$B$18)</f>
        <v/>
      </c>
    </row>
    <row r="906">
      <c r="A906" s="26" t="n"/>
      <c r="B906" s="44" t="n"/>
      <c r="C906" s="45">
        <f>IF(B906="","",$B$15*(B906-$B$14))</f>
        <v/>
      </c>
      <c r="D906" s="46">
        <f>IF(OR(A906="",C906="",D905="",C905=""),"",D905+(C905+C906)/2*(A906-A905)*60)</f>
        <v/>
      </c>
      <c r="E906" s="20">
        <f>IF(OR(D906="",$B$18=""),"",D906/$B$18)</f>
        <v/>
      </c>
      <c r="F906" s="29">
        <f>IF(OR(C906="",$B$18=""),"",C906*60/$B$18)</f>
        <v/>
      </c>
    </row>
    <row r="907">
      <c r="A907" s="26" t="n"/>
      <c r="B907" s="44" t="n"/>
      <c r="C907" s="45">
        <f>IF(B907="","",$B$15*(B907-$B$14))</f>
        <v/>
      </c>
      <c r="D907" s="46">
        <f>IF(OR(A907="",C907="",D906="",C906=""),"",D906+(C906+C907)/2*(A907-A906)*60)</f>
        <v/>
      </c>
      <c r="E907" s="20">
        <f>IF(OR(D907="",$B$18=""),"",D907/$B$18)</f>
        <v/>
      </c>
      <c r="F907" s="29">
        <f>IF(OR(C907="",$B$18=""),"",C907*60/$B$18)</f>
        <v/>
      </c>
    </row>
    <row r="908">
      <c r="A908" s="26" t="n"/>
      <c r="B908" s="44" t="n"/>
      <c r="C908" s="45">
        <f>IF(B908="","",$B$15*(B908-$B$14))</f>
        <v/>
      </c>
      <c r="D908" s="46">
        <f>IF(OR(A908="",C908="",D907="",C907=""),"",D907+(C907+C908)/2*(A908-A907)*60)</f>
        <v/>
      </c>
      <c r="E908" s="20">
        <f>IF(OR(D908="",$B$18=""),"",D908/$B$18)</f>
        <v/>
      </c>
      <c r="F908" s="29">
        <f>IF(OR(C908="",$B$18=""),"",C908*60/$B$18)</f>
        <v/>
      </c>
    </row>
    <row r="909">
      <c r="A909" s="26" t="n"/>
      <c r="B909" s="44" t="n"/>
      <c r="C909" s="45">
        <f>IF(B909="","",$B$15*(B909-$B$14))</f>
        <v/>
      </c>
      <c r="D909" s="46">
        <f>IF(OR(A909="",C909="",D908="",C908=""),"",D908+(C908+C909)/2*(A909-A908)*60)</f>
        <v/>
      </c>
      <c r="E909" s="20">
        <f>IF(OR(D909="",$B$18=""),"",D909/$B$18)</f>
        <v/>
      </c>
      <c r="F909" s="29">
        <f>IF(OR(C909="",$B$18=""),"",C909*60/$B$18)</f>
        <v/>
      </c>
    </row>
    <row r="910">
      <c r="A910" s="26" t="n"/>
      <c r="B910" s="44" t="n"/>
      <c r="C910" s="45">
        <f>IF(B910="","",$B$15*(B910-$B$14))</f>
        <v/>
      </c>
      <c r="D910" s="46">
        <f>IF(OR(A910="",C910="",D909="",C909=""),"",D909+(C909+C910)/2*(A910-A909)*60)</f>
        <v/>
      </c>
      <c r="E910" s="20">
        <f>IF(OR(D910="",$B$18=""),"",D910/$B$18)</f>
        <v/>
      </c>
      <c r="F910" s="29">
        <f>IF(OR(C910="",$B$18=""),"",C910*60/$B$18)</f>
        <v/>
      </c>
    </row>
    <row r="911">
      <c r="A911" s="26" t="n"/>
      <c r="B911" s="44" t="n"/>
      <c r="C911" s="45">
        <f>IF(B911="","",$B$15*(B911-$B$14))</f>
        <v/>
      </c>
      <c r="D911" s="46">
        <f>IF(OR(A911="",C911="",D910="",C910=""),"",D910+(C910+C911)/2*(A911-A910)*60)</f>
        <v/>
      </c>
      <c r="E911" s="20">
        <f>IF(OR(D911="",$B$18=""),"",D911/$B$18)</f>
        <v/>
      </c>
      <c r="F911" s="29">
        <f>IF(OR(C911="",$B$18=""),"",C911*60/$B$18)</f>
        <v/>
      </c>
    </row>
    <row r="912">
      <c r="A912" s="26" t="n"/>
      <c r="B912" s="44" t="n"/>
      <c r="C912" s="45">
        <f>IF(B912="","",$B$15*(B912-$B$14))</f>
        <v/>
      </c>
      <c r="D912" s="46">
        <f>IF(OR(A912="",C912="",D911="",C911=""),"",D911+(C911+C912)/2*(A912-A911)*60)</f>
        <v/>
      </c>
      <c r="E912" s="20">
        <f>IF(OR(D912="",$B$18=""),"",D912/$B$18)</f>
        <v/>
      </c>
      <c r="F912" s="29">
        <f>IF(OR(C912="",$B$18=""),"",C912*60/$B$18)</f>
        <v/>
      </c>
    </row>
    <row r="913">
      <c r="A913" s="26" t="n"/>
      <c r="B913" s="44" t="n"/>
      <c r="C913" s="45">
        <f>IF(B913="","",$B$15*(B913-$B$14))</f>
        <v/>
      </c>
      <c r="D913" s="46">
        <f>IF(OR(A913="",C913="",D912="",C912=""),"",D912+(C912+C913)/2*(A913-A912)*60)</f>
        <v/>
      </c>
      <c r="E913" s="20">
        <f>IF(OR(D913="",$B$18=""),"",D913/$B$18)</f>
        <v/>
      </c>
      <c r="F913" s="29">
        <f>IF(OR(C913="",$B$18=""),"",C913*60/$B$18)</f>
        <v/>
      </c>
    </row>
    <row r="914">
      <c r="A914" s="26" t="n"/>
      <c r="B914" s="44" t="n"/>
      <c r="C914" s="45">
        <f>IF(B914="","",$B$15*(B914-$B$14))</f>
        <v/>
      </c>
      <c r="D914" s="46">
        <f>IF(OR(A914="",C914="",D913="",C913=""),"",D913+(C913+C914)/2*(A914-A913)*60)</f>
        <v/>
      </c>
      <c r="E914" s="20">
        <f>IF(OR(D914="",$B$18=""),"",D914/$B$18)</f>
        <v/>
      </c>
      <c r="F914" s="29">
        <f>IF(OR(C914="",$B$18=""),"",C914*60/$B$18)</f>
        <v/>
      </c>
    </row>
    <row r="915">
      <c r="A915" s="26" t="n"/>
      <c r="B915" s="44" t="n"/>
      <c r="C915" s="45">
        <f>IF(B915="","",$B$15*(B915-$B$14))</f>
        <v/>
      </c>
      <c r="D915" s="46">
        <f>IF(OR(A915="",C915="",D914="",C914=""),"",D914+(C914+C915)/2*(A915-A914)*60)</f>
        <v/>
      </c>
      <c r="E915" s="20">
        <f>IF(OR(D915="",$B$18=""),"",D915/$B$18)</f>
        <v/>
      </c>
      <c r="F915" s="29">
        <f>IF(OR(C915="",$B$18=""),"",C915*60/$B$18)</f>
        <v/>
      </c>
    </row>
    <row r="916">
      <c r="A916" s="26" t="n"/>
      <c r="B916" s="44" t="n"/>
      <c r="C916" s="45">
        <f>IF(B916="","",$B$15*(B916-$B$14))</f>
        <v/>
      </c>
      <c r="D916" s="46">
        <f>IF(OR(A916="",C916="",D915="",C915=""),"",D915+(C915+C916)/2*(A916-A915)*60)</f>
        <v/>
      </c>
      <c r="E916" s="20">
        <f>IF(OR(D916="",$B$18=""),"",D916/$B$18)</f>
        <v/>
      </c>
      <c r="F916" s="29">
        <f>IF(OR(C916="",$B$18=""),"",C916*60/$B$18)</f>
        <v/>
      </c>
    </row>
    <row r="917">
      <c r="A917" s="26" t="n"/>
      <c r="B917" s="44" t="n"/>
      <c r="C917" s="45">
        <f>IF(B917="","",$B$15*(B917-$B$14))</f>
        <v/>
      </c>
      <c r="D917" s="46">
        <f>IF(OR(A917="",C917="",D916="",C916=""),"",D916+(C916+C917)/2*(A917-A916)*60)</f>
        <v/>
      </c>
      <c r="E917" s="20">
        <f>IF(OR(D917="",$B$18=""),"",D917/$B$18)</f>
        <v/>
      </c>
      <c r="F917" s="29">
        <f>IF(OR(C917="",$B$18=""),"",C917*60/$B$18)</f>
        <v/>
      </c>
    </row>
    <row r="918">
      <c r="A918" s="26" t="n"/>
      <c r="B918" s="44" t="n"/>
      <c r="C918" s="45">
        <f>IF(B918="","",$B$15*(B918-$B$14))</f>
        <v/>
      </c>
      <c r="D918" s="46">
        <f>IF(OR(A918="",C918="",D917="",C917=""),"",D917+(C917+C918)/2*(A918-A917)*60)</f>
        <v/>
      </c>
      <c r="E918" s="20">
        <f>IF(OR(D918="",$B$18=""),"",D918/$B$18)</f>
        <v/>
      </c>
      <c r="F918" s="29">
        <f>IF(OR(C918="",$B$18=""),"",C918*60/$B$18)</f>
        <v/>
      </c>
    </row>
    <row r="919">
      <c r="A919" s="26" t="n"/>
      <c r="B919" s="44" t="n"/>
      <c r="C919" s="45">
        <f>IF(B919="","",$B$15*(B919-$B$14))</f>
        <v/>
      </c>
      <c r="D919" s="46">
        <f>IF(OR(A919="",C919="",D918="",C918=""),"",D918+(C918+C919)/2*(A919-A918)*60)</f>
        <v/>
      </c>
      <c r="E919" s="20">
        <f>IF(OR(D919="",$B$18=""),"",D919/$B$18)</f>
        <v/>
      </c>
      <c r="F919" s="29">
        <f>IF(OR(C919="",$B$18=""),"",C919*60/$B$18)</f>
        <v/>
      </c>
    </row>
    <row r="920">
      <c r="A920" s="26" t="n"/>
      <c r="B920" s="44" t="n"/>
      <c r="C920" s="45">
        <f>IF(B920="","",$B$15*(B920-$B$14))</f>
        <v/>
      </c>
      <c r="D920" s="46">
        <f>IF(OR(A920="",C920="",D919="",C919=""),"",D919+(C919+C920)/2*(A920-A919)*60)</f>
        <v/>
      </c>
      <c r="E920" s="20">
        <f>IF(OR(D920="",$B$18=""),"",D920/$B$18)</f>
        <v/>
      </c>
      <c r="F920" s="29">
        <f>IF(OR(C920="",$B$18=""),"",C920*60/$B$18)</f>
        <v/>
      </c>
    </row>
    <row r="921">
      <c r="A921" s="26" t="n"/>
      <c r="B921" s="44" t="n"/>
      <c r="C921" s="45">
        <f>IF(B921="","",$B$15*(B921-$B$14))</f>
        <v/>
      </c>
      <c r="D921" s="46">
        <f>IF(OR(A921="",C921="",D920="",C920=""),"",D920+(C920+C921)/2*(A921-A920)*60)</f>
        <v/>
      </c>
      <c r="E921" s="20">
        <f>IF(OR(D921="",$B$18=""),"",D921/$B$18)</f>
        <v/>
      </c>
      <c r="F921" s="29">
        <f>IF(OR(C921="",$B$18=""),"",C921*60/$B$18)</f>
        <v/>
      </c>
    </row>
    <row r="922">
      <c r="A922" s="26" t="n"/>
      <c r="B922" s="44" t="n"/>
      <c r="C922" s="45">
        <f>IF(B922="","",$B$15*(B922-$B$14))</f>
        <v/>
      </c>
      <c r="D922" s="46">
        <f>IF(OR(A922="",C922="",D921="",C921=""),"",D921+(C921+C922)/2*(A922-A921)*60)</f>
        <v/>
      </c>
      <c r="E922" s="20">
        <f>IF(OR(D922="",$B$18=""),"",D922/$B$18)</f>
        <v/>
      </c>
      <c r="F922" s="29">
        <f>IF(OR(C922="",$B$18=""),"",C922*60/$B$18)</f>
        <v/>
      </c>
    </row>
    <row r="923">
      <c r="A923" s="26" t="n"/>
      <c r="B923" s="44" t="n"/>
      <c r="C923" s="45">
        <f>IF(B923="","",$B$15*(B923-$B$14))</f>
        <v/>
      </c>
      <c r="D923" s="46">
        <f>IF(OR(A923="",C923="",D922="",C922=""),"",D922+(C922+C923)/2*(A923-A922)*60)</f>
        <v/>
      </c>
      <c r="E923" s="20">
        <f>IF(OR(D923="",$B$18=""),"",D923/$B$18)</f>
        <v/>
      </c>
      <c r="F923" s="29">
        <f>IF(OR(C923="",$B$18=""),"",C923*60/$B$18)</f>
        <v/>
      </c>
    </row>
    <row r="924">
      <c r="A924" s="26" t="n"/>
      <c r="B924" s="44" t="n"/>
      <c r="C924" s="45">
        <f>IF(B924="","",$B$15*(B924-$B$14))</f>
        <v/>
      </c>
      <c r="D924" s="46">
        <f>IF(OR(A924="",C924="",D923="",C923=""),"",D923+(C923+C924)/2*(A924-A923)*60)</f>
        <v/>
      </c>
      <c r="E924" s="20">
        <f>IF(OR(D924="",$B$18=""),"",D924/$B$18)</f>
        <v/>
      </c>
      <c r="F924" s="29">
        <f>IF(OR(C924="",$B$18=""),"",C924*60/$B$18)</f>
        <v/>
      </c>
    </row>
    <row r="925">
      <c r="A925" s="26" t="n"/>
      <c r="B925" s="44" t="n"/>
      <c r="C925" s="45">
        <f>IF(B925="","",$B$15*(B925-$B$14))</f>
        <v/>
      </c>
      <c r="D925" s="46">
        <f>IF(OR(A925="",C925="",D924="",C924=""),"",D924+(C924+C925)/2*(A925-A924)*60)</f>
        <v/>
      </c>
      <c r="E925" s="20">
        <f>IF(OR(D925="",$B$18=""),"",D925/$B$18)</f>
        <v/>
      </c>
      <c r="F925" s="29">
        <f>IF(OR(C925="",$B$18=""),"",C925*60/$B$18)</f>
        <v/>
      </c>
    </row>
    <row r="926">
      <c r="A926" s="26" t="n"/>
      <c r="B926" s="44" t="n"/>
      <c r="C926" s="45">
        <f>IF(B926="","",$B$15*(B926-$B$14))</f>
        <v/>
      </c>
      <c r="D926" s="46">
        <f>IF(OR(A926="",C926="",D925="",C925=""),"",D925+(C925+C926)/2*(A926-A925)*60)</f>
        <v/>
      </c>
      <c r="E926" s="20">
        <f>IF(OR(D926="",$B$18=""),"",D926/$B$18)</f>
        <v/>
      </c>
      <c r="F926" s="29">
        <f>IF(OR(C926="",$B$18=""),"",C926*60/$B$18)</f>
        <v/>
      </c>
    </row>
    <row r="927">
      <c r="A927" s="26" t="n"/>
      <c r="B927" s="44" t="n"/>
      <c r="C927" s="45">
        <f>IF(B927="","",$B$15*(B927-$B$14))</f>
        <v/>
      </c>
      <c r="D927" s="46">
        <f>IF(OR(A927="",C927="",D926="",C926=""),"",D926+(C926+C927)/2*(A927-A926)*60)</f>
        <v/>
      </c>
      <c r="E927" s="20">
        <f>IF(OR(D927="",$B$18=""),"",D927/$B$18)</f>
        <v/>
      </c>
      <c r="F927" s="29">
        <f>IF(OR(C927="",$B$18=""),"",C927*60/$B$18)</f>
        <v/>
      </c>
    </row>
    <row r="928">
      <c r="A928" s="26" t="n"/>
      <c r="B928" s="44" t="n"/>
      <c r="C928" s="45">
        <f>IF(B928="","",$B$15*(B928-$B$14))</f>
        <v/>
      </c>
      <c r="D928" s="46">
        <f>IF(OR(A928="",C928="",D927="",C927=""),"",D927+(C927+C928)/2*(A928-A927)*60)</f>
        <v/>
      </c>
      <c r="E928" s="20">
        <f>IF(OR(D928="",$B$18=""),"",D928/$B$18)</f>
        <v/>
      </c>
      <c r="F928" s="29">
        <f>IF(OR(C928="",$B$18=""),"",C928*60/$B$18)</f>
        <v/>
      </c>
    </row>
    <row r="929">
      <c r="A929" s="26" t="n"/>
      <c r="B929" s="44" t="n"/>
      <c r="C929" s="45">
        <f>IF(B929="","",$B$15*(B929-$B$14))</f>
        <v/>
      </c>
      <c r="D929" s="46">
        <f>IF(OR(A929="",C929="",D928="",C928=""),"",D928+(C928+C929)/2*(A929-A928)*60)</f>
        <v/>
      </c>
      <c r="E929" s="20">
        <f>IF(OR(D929="",$B$18=""),"",D929/$B$18)</f>
        <v/>
      </c>
      <c r="F929" s="29">
        <f>IF(OR(C929="",$B$18=""),"",C929*60/$B$18)</f>
        <v/>
      </c>
    </row>
    <row r="930">
      <c r="A930" s="26" t="n"/>
      <c r="B930" s="44" t="n"/>
      <c r="C930" s="45">
        <f>IF(B930="","",$B$15*(B930-$B$14))</f>
        <v/>
      </c>
      <c r="D930" s="46">
        <f>IF(OR(A930="",C930="",D929="",C929=""),"",D929+(C929+C930)/2*(A930-A929)*60)</f>
        <v/>
      </c>
      <c r="E930" s="20">
        <f>IF(OR(D930="",$B$18=""),"",D930/$B$18)</f>
        <v/>
      </c>
      <c r="F930" s="29">
        <f>IF(OR(C930="",$B$18=""),"",C930*60/$B$18)</f>
        <v/>
      </c>
    </row>
    <row r="931">
      <c r="A931" s="26" t="n"/>
      <c r="B931" s="44" t="n"/>
      <c r="C931" s="45">
        <f>IF(B931="","",$B$15*(B931-$B$14))</f>
        <v/>
      </c>
      <c r="D931" s="46">
        <f>IF(OR(A931="",C931="",D930="",C930=""),"",D930+(C930+C931)/2*(A931-A930)*60)</f>
        <v/>
      </c>
      <c r="E931" s="20">
        <f>IF(OR(D931="",$B$18=""),"",D931/$B$18)</f>
        <v/>
      </c>
      <c r="F931" s="29">
        <f>IF(OR(C931="",$B$18=""),"",C931*60/$B$18)</f>
        <v/>
      </c>
    </row>
    <row r="932">
      <c r="A932" s="26" t="n"/>
      <c r="B932" s="44" t="n"/>
      <c r="C932" s="45">
        <f>IF(B932="","",$B$15*(B932-$B$14))</f>
        <v/>
      </c>
      <c r="D932" s="46">
        <f>IF(OR(A932="",C932="",D931="",C931=""),"",D931+(C931+C932)/2*(A932-A931)*60)</f>
        <v/>
      </c>
      <c r="E932" s="20">
        <f>IF(OR(D932="",$B$18=""),"",D932/$B$18)</f>
        <v/>
      </c>
      <c r="F932" s="29">
        <f>IF(OR(C932="",$B$18=""),"",C932*60/$B$18)</f>
        <v/>
      </c>
    </row>
    <row r="933">
      <c r="A933" s="26" t="n"/>
      <c r="B933" s="44" t="n"/>
      <c r="C933" s="45">
        <f>IF(B933="","",$B$15*(B933-$B$14))</f>
        <v/>
      </c>
      <c r="D933" s="46">
        <f>IF(OR(A933="",C933="",D932="",C932=""),"",D932+(C932+C933)/2*(A933-A932)*60)</f>
        <v/>
      </c>
      <c r="E933" s="20">
        <f>IF(OR(D933="",$B$18=""),"",D933/$B$18)</f>
        <v/>
      </c>
      <c r="F933" s="29">
        <f>IF(OR(C933="",$B$18=""),"",C933*60/$B$18)</f>
        <v/>
      </c>
    </row>
    <row r="934">
      <c r="A934" s="26" t="n"/>
      <c r="B934" s="44" t="n"/>
      <c r="C934" s="45">
        <f>IF(B934="","",$B$15*(B934-$B$14))</f>
        <v/>
      </c>
      <c r="D934" s="46">
        <f>IF(OR(A934="",C934="",D933="",C933=""),"",D933+(C933+C934)/2*(A934-A933)*60)</f>
        <v/>
      </c>
      <c r="E934" s="20">
        <f>IF(OR(D934="",$B$18=""),"",D934/$B$18)</f>
        <v/>
      </c>
      <c r="F934" s="29">
        <f>IF(OR(C934="",$B$18=""),"",C934*60/$B$18)</f>
        <v/>
      </c>
    </row>
    <row r="935">
      <c r="A935" s="26" t="n"/>
      <c r="B935" s="44" t="n"/>
      <c r="C935" s="45">
        <f>IF(B935="","",$B$15*(B935-$B$14))</f>
        <v/>
      </c>
      <c r="D935" s="46">
        <f>IF(OR(A935="",C935="",D934="",C934=""),"",D934+(C934+C935)/2*(A935-A934)*60)</f>
        <v/>
      </c>
      <c r="E935" s="20">
        <f>IF(OR(D935="",$B$18=""),"",D935/$B$18)</f>
        <v/>
      </c>
      <c r="F935" s="29">
        <f>IF(OR(C935="",$B$18=""),"",C935*60/$B$18)</f>
        <v/>
      </c>
    </row>
    <row r="936">
      <c r="A936" s="26" t="n"/>
      <c r="B936" s="44" t="n"/>
      <c r="C936" s="45">
        <f>IF(B936="","",$B$15*(B936-$B$14))</f>
        <v/>
      </c>
      <c r="D936" s="46">
        <f>IF(OR(A936="",C936="",D935="",C935=""),"",D935+(C935+C936)/2*(A936-A935)*60)</f>
        <v/>
      </c>
      <c r="E936" s="20">
        <f>IF(OR(D936="",$B$18=""),"",D936/$B$18)</f>
        <v/>
      </c>
      <c r="F936" s="29">
        <f>IF(OR(C936="",$B$18=""),"",C936*60/$B$18)</f>
        <v/>
      </c>
    </row>
    <row r="937">
      <c r="A937" s="26" t="n"/>
      <c r="B937" s="44" t="n"/>
      <c r="C937" s="45">
        <f>IF(B937="","",$B$15*(B937-$B$14))</f>
        <v/>
      </c>
      <c r="D937" s="46">
        <f>IF(OR(A937="",C937="",D936="",C936=""),"",D936+(C936+C937)/2*(A937-A936)*60)</f>
        <v/>
      </c>
      <c r="E937" s="20">
        <f>IF(OR(D937="",$B$18=""),"",D937/$B$18)</f>
        <v/>
      </c>
      <c r="F937" s="29">
        <f>IF(OR(C937="",$B$18=""),"",C937*60/$B$18)</f>
        <v/>
      </c>
    </row>
    <row r="938">
      <c r="A938" s="26" t="n"/>
      <c r="B938" s="44" t="n"/>
      <c r="C938" s="45">
        <f>IF(B938="","",$B$15*(B938-$B$14))</f>
        <v/>
      </c>
      <c r="D938" s="46">
        <f>IF(OR(A938="",C938="",D937="",C937=""),"",D937+(C937+C938)/2*(A938-A937)*60)</f>
        <v/>
      </c>
      <c r="E938" s="20">
        <f>IF(OR(D938="",$B$18=""),"",D938/$B$18)</f>
        <v/>
      </c>
      <c r="F938" s="29">
        <f>IF(OR(C938="",$B$18=""),"",C938*60/$B$18)</f>
        <v/>
      </c>
    </row>
    <row r="939">
      <c r="A939" s="26" t="n"/>
      <c r="B939" s="44" t="n"/>
      <c r="C939" s="45">
        <f>IF(B939="","",$B$15*(B939-$B$14))</f>
        <v/>
      </c>
      <c r="D939" s="46">
        <f>IF(OR(A939="",C939="",D938="",C938=""),"",D938+(C938+C939)/2*(A939-A938)*60)</f>
        <v/>
      </c>
      <c r="E939" s="20">
        <f>IF(OR(D939="",$B$18=""),"",D939/$B$18)</f>
        <v/>
      </c>
      <c r="F939" s="29">
        <f>IF(OR(C939="",$B$18=""),"",C939*60/$B$18)</f>
        <v/>
      </c>
    </row>
    <row r="940">
      <c r="A940" s="26" t="n"/>
      <c r="B940" s="44" t="n"/>
      <c r="C940" s="45">
        <f>IF(B940="","",$B$15*(B940-$B$14))</f>
        <v/>
      </c>
      <c r="D940" s="46">
        <f>IF(OR(A940="",C940="",D939="",C939=""),"",D939+(C939+C940)/2*(A940-A939)*60)</f>
        <v/>
      </c>
      <c r="E940" s="20">
        <f>IF(OR(D940="",$B$18=""),"",D940/$B$18)</f>
        <v/>
      </c>
      <c r="F940" s="29">
        <f>IF(OR(C940="",$B$18=""),"",C940*60/$B$18)</f>
        <v/>
      </c>
    </row>
    <row r="941">
      <c r="A941" s="26" t="n"/>
      <c r="B941" s="44" t="n"/>
      <c r="C941" s="45">
        <f>IF(B941="","",$B$15*(B941-$B$14))</f>
        <v/>
      </c>
      <c r="D941" s="46">
        <f>IF(OR(A941="",C941="",D940="",C940=""),"",D940+(C940+C941)/2*(A941-A940)*60)</f>
        <v/>
      </c>
      <c r="E941" s="20">
        <f>IF(OR(D941="",$B$18=""),"",D941/$B$18)</f>
        <v/>
      </c>
      <c r="F941" s="29">
        <f>IF(OR(C941="",$B$18=""),"",C941*60/$B$18)</f>
        <v/>
      </c>
    </row>
    <row r="942">
      <c r="A942" s="26" t="n"/>
      <c r="B942" s="44" t="n"/>
      <c r="C942" s="45">
        <f>IF(B942="","",$B$15*(B942-$B$14))</f>
        <v/>
      </c>
      <c r="D942" s="46">
        <f>IF(OR(A942="",C942="",D941="",C941=""),"",D941+(C941+C942)/2*(A942-A941)*60)</f>
        <v/>
      </c>
      <c r="E942" s="20">
        <f>IF(OR(D942="",$B$18=""),"",D942/$B$18)</f>
        <v/>
      </c>
      <c r="F942" s="29">
        <f>IF(OR(C942="",$B$18=""),"",C942*60/$B$18)</f>
        <v/>
      </c>
    </row>
    <row r="943">
      <c r="A943" s="26" t="n"/>
      <c r="B943" s="44" t="n"/>
      <c r="C943" s="45">
        <f>IF(B943="","",$B$15*(B943-$B$14))</f>
        <v/>
      </c>
      <c r="D943" s="46">
        <f>IF(OR(A943="",C943="",D942="",C942=""),"",D942+(C942+C943)/2*(A943-A942)*60)</f>
        <v/>
      </c>
      <c r="E943" s="20">
        <f>IF(OR(D943="",$B$18=""),"",D943/$B$18)</f>
        <v/>
      </c>
      <c r="F943" s="29">
        <f>IF(OR(C943="",$B$18=""),"",C943*60/$B$18)</f>
        <v/>
      </c>
    </row>
    <row r="944">
      <c r="A944" s="26" t="n"/>
      <c r="B944" s="44" t="n"/>
      <c r="C944" s="45">
        <f>IF(B944="","",$B$15*(B944-$B$14))</f>
        <v/>
      </c>
      <c r="D944" s="46">
        <f>IF(OR(A944="",C944="",D943="",C943=""),"",D943+(C943+C944)/2*(A944-A943)*60)</f>
        <v/>
      </c>
      <c r="E944" s="20">
        <f>IF(OR(D944="",$B$18=""),"",D944/$B$18)</f>
        <v/>
      </c>
      <c r="F944" s="29">
        <f>IF(OR(C944="",$B$18=""),"",C944*60/$B$18)</f>
        <v/>
      </c>
    </row>
    <row r="945">
      <c r="A945" s="26" t="n"/>
      <c r="B945" s="44" t="n"/>
      <c r="C945" s="45">
        <f>IF(B945="","",$B$15*(B945-$B$14))</f>
        <v/>
      </c>
      <c r="D945" s="46">
        <f>IF(OR(A945="",C945="",D944="",C944=""),"",D944+(C944+C945)/2*(A945-A944)*60)</f>
        <v/>
      </c>
      <c r="E945" s="20">
        <f>IF(OR(D945="",$B$18=""),"",D945/$B$18)</f>
        <v/>
      </c>
      <c r="F945" s="29">
        <f>IF(OR(C945="",$B$18=""),"",C945*60/$B$18)</f>
        <v/>
      </c>
    </row>
    <row r="946">
      <c r="A946" s="26" t="n"/>
      <c r="B946" s="44" t="n"/>
      <c r="C946" s="45">
        <f>IF(B946="","",$B$15*(B946-$B$14))</f>
        <v/>
      </c>
      <c r="D946" s="46">
        <f>IF(OR(A946="",C946="",D945="",C945=""),"",D945+(C945+C946)/2*(A946-A945)*60)</f>
        <v/>
      </c>
      <c r="E946" s="20">
        <f>IF(OR(D946="",$B$18=""),"",D946/$B$18)</f>
        <v/>
      </c>
      <c r="F946" s="29">
        <f>IF(OR(C946="",$B$18=""),"",C946*60/$B$18)</f>
        <v/>
      </c>
    </row>
    <row r="947">
      <c r="A947" s="26" t="n"/>
      <c r="B947" s="44" t="n"/>
      <c r="C947" s="45">
        <f>IF(B947="","",$B$15*(B947-$B$14))</f>
        <v/>
      </c>
      <c r="D947" s="46">
        <f>IF(OR(A947="",C947="",D946="",C946=""),"",D946+(C946+C947)/2*(A947-A946)*60)</f>
        <v/>
      </c>
      <c r="E947" s="20">
        <f>IF(OR(D947="",$B$18=""),"",D947/$B$18)</f>
        <v/>
      </c>
      <c r="F947" s="29">
        <f>IF(OR(C947="",$B$18=""),"",C947*60/$B$18)</f>
        <v/>
      </c>
    </row>
    <row r="948">
      <c r="A948" s="26" t="n"/>
      <c r="B948" s="44" t="n"/>
      <c r="C948" s="45">
        <f>IF(B948="","",$B$15*(B948-$B$14))</f>
        <v/>
      </c>
      <c r="D948" s="46">
        <f>IF(OR(A948="",C948="",D947="",C947=""),"",D947+(C947+C948)/2*(A948-A947)*60)</f>
        <v/>
      </c>
      <c r="E948" s="20">
        <f>IF(OR(D948="",$B$18=""),"",D948/$B$18)</f>
        <v/>
      </c>
      <c r="F948" s="29">
        <f>IF(OR(C948="",$B$18=""),"",C948*60/$B$18)</f>
        <v/>
      </c>
    </row>
    <row r="949">
      <c r="A949" s="26" t="n"/>
      <c r="B949" s="44" t="n"/>
      <c r="C949" s="45">
        <f>IF(B949="","",$B$15*(B949-$B$14))</f>
        <v/>
      </c>
      <c r="D949" s="46">
        <f>IF(OR(A949="",C949="",D948="",C948=""),"",D948+(C948+C949)/2*(A949-A948)*60)</f>
        <v/>
      </c>
      <c r="E949" s="20">
        <f>IF(OR(D949="",$B$18=""),"",D949/$B$18)</f>
        <v/>
      </c>
      <c r="F949" s="29">
        <f>IF(OR(C949="",$B$18=""),"",C949*60/$B$18)</f>
        <v/>
      </c>
    </row>
    <row r="950">
      <c r="A950" s="26" t="n"/>
      <c r="B950" s="44" t="n"/>
      <c r="C950" s="45">
        <f>IF(B950="","",$B$15*(B950-$B$14))</f>
        <v/>
      </c>
      <c r="D950" s="46">
        <f>IF(OR(A950="",C950="",D949="",C949=""),"",D949+(C949+C950)/2*(A950-A949)*60)</f>
        <v/>
      </c>
      <c r="E950" s="20">
        <f>IF(OR(D950="",$B$18=""),"",D950/$B$18)</f>
        <v/>
      </c>
      <c r="F950" s="29">
        <f>IF(OR(C950="",$B$18=""),"",C950*60/$B$18)</f>
        <v/>
      </c>
    </row>
    <row r="951">
      <c r="A951" s="26" t="n"/>
      <c r="B951" s="44" t="n"/>
      <c r="C951" s="45">
        <f>IF(B951="","",$B$15*(B951-$B$14))</f>
        <v/>
      </c>
      <c r="D951" s="46">
        <f>IF(OR(A951="",C951="",D950="",C950=""),"",D950+(C950+C951)/2*(A951-A950)*60)</f>
        <v/>
      </c>
      <c r="E951" s="20">
        <f>IF(OR(D951="",$B$18=""),"",D951/$B$18)</f>
        <v/>
      </c>
      <c r="F951" s="29">
        <f>IF(OR(C951="",$B$18=""),"",C951*60/$B$18)</f>
        <v/>
      </c>
    </row>
    <row r="952">
      <c r="A952" s="26" t="n"/>
      <c r="B952" s="44" t="n"/>
      <c r="C952" s="45">
        <f>IF(B952="","",$B$15*(B952-$B$14))</f>
        <v/>
      </c>
      <c r="D952" s="46">
        <f>IF(OR(A952="",C952="",D951="",C951=""),"",D951+(C951+C952)/2*(A952-A951)*60)</f>
        <v/>
      </c>
      <c r="E952" s="20">
        <f>IF(OR(D952="",$B$18=""),"",D952/$B$18)</f>
        <v/>
      </c>
      <c r="F952" s="29">
        <f>IF(OR(C952="",$B$18=""),"",C952*60/$B$18)</f>
        <v/>
      </c>
    </row>
    <row r="953">
      <c r="A953" s="26" t="n"/>
      <c r="B953" s="44" t="n"/>
      <c r="C953" s="45">
        <f>IF(B953="","",$B$15*(B953-$B$14))</f>
        <v/>
      </c>
      <c r="D953" s="46">
        <f>IF(OR(A953="",C953="",D952="",C952=""),"",D952+(C952+C953)/2*(A953-A952)*60)</f>
        <v/>
      </c>
      <c r="E953" s="20">
        <f>IF(OR(D953="",$B$18=""),"",D953/$B$18)</f>
        <v/>
      </c>
      <c r="F953" s="29">
        <f>IF(OR(C953="",$B$18=""),"",C953*60/$B$18)</f>
        <v/>
      </c>
    </row>
    <row r="954">
      <c r="A954" s="26" t="n"/>
      <c r="B954" s="44" t="n"/>
      <c r="C954" s="45">
        <f>IF(B954="","",$B$15*(B954-$B$14))</f>
        <v/>
      </c>
      <c r="D954" s="46">
        <f>IF(OR(A954="",C954="",D953="",C953=""),"",D953+(C953+C954)/2*(A954-A953)*60)</f>
        <v/>
      </c>
      <c r="E954" s="20">
        <f>IF(OR(D954="",$B$18=""),"",D954/$B$18)</f>
        <v/>
      </c>
      <c r="F954" s="29">
        <f>IF(OR(C954="",$B$18=""),"",C954*60/$B$18)</f>
        <v/>
      </c>
    </row>
    <row r="955">
      <c r="A955" s="26" t="n"/>
      <c r="B955" s="44" t="n"/>
      <c r="C955" s="45">
        <f>IF(B955="","",$B$15*(B955-$B$14))</f>
        <v/>
      </c>
      <c r="D955" s="46">
        <f>IF(OR(A955="",C955="",D954="",C954=""),"",D954+(C954+C955)/2*(A955-A954)*60)</f>
        <v/>
      </c>
      <c r="E955" s="20">
        <f>IF(OR(D955="",$B$18=""),"",D955/$B$18)</f>
        <v/>
      </c>
      <c r="F955" s="29">
        <f>IF(OR(C955="",$B$18=""),"",C955*60/$B$18)</f>
        <v/>
      </c>
    </row>
    <row r="956">
      <c r="A956" s="26" t="n"/>
      <c r="B956" s="44" t="n"/>
      <c r="C956" s="45">
        <f>IF(B956="","",$B$15*(B956-$B$14))</f>
        <v/>
      </c>
      <c r="D956" s="46">
        <f>IF(OR(A956="",C956="",D955="",C955=""),"",D955+(C955+C956)/2*(A956-A955)*60)</f>
        <v/>
      </c>
      <c r="E956" s="20">
        <f>IF(OR(D956="",$B$18=""),"",D956/$B$18)</f>
        <v/>
      </c>
      <c r="F956" s="29">
        <f>IF(OR(C956="",$B$18=""),"",C956*60/$B$18)</f>
        <v/>
      </c>
    </row>
    <row r="957">
      <c r="A957" s="26" t="n"/>
      <c r="B957" s="44" t="n"/>
      <c r="C957" s="45">
        <f>IF(B957="","",$B$15*(B957-$B$14))</f>
        <v/>
      </c>
      <c r="D957" s="46">
        <f>IF(OR(A957="",C957="",D956="",C956=""),"",D956+(C956+C957)/2*(A957-A956)*60)</f>
        <v/>
      </c>
      <c r="E957" s="20">
        <f>IF(OR(D957="",$B$18=""),"",D957/$B$18)</f>
        <v/>
      </c>
      <c r="F957" s="29">
        <f>IF(OR(C957="",$B$18=""),"",C957*60/$B$18)</f>
        <v/>
      </c>
    </row>
    <row r="958">
      <c r="A958" s="26" t="n"/>
      <c r="B958" s="44" t="n"/>
      <c r="C958" s="45">
        <f>IF(B958="","",$B$15*(B958-$B$14))</f>
        <v/>
      </c>
      <c r="D958" s="46">
        <f>IF(OR(A958="",C958="",D957="",C957=""),"",D957+(C957+C958)/2*(A958-A957)*60)</f>
        <v/>
      </c>
      <c r="E958" s="20">
        <f>IF(OR(D958="",$B$18=""),"",D958/$B$18)</f>
        <v/>
      </c>
      <c r="F958" s="29">
        <f>IF(OR(C958="",$B$18=""),"",C958*60/$B$18)</f>
        <v/>
      </c>
    </row>
    <row r="959">
      <c r="A959" s="26" t="n"/>
      <c r="B959" s="44" t="n"/>
      <c r="C959" s="45">
        <f>IF(B959="","",$B$15*(B959-$B$14))</f>
        <v/>
      </c>
      <c r="D959" s="46">
        <f>IF(OR(A959="",C959="",D958="",C958=""),"",D958+(C958+C959)/2*(A959-A958)*60)</f>
        <v/>
      </c>
      <c r="E959" s="20">
        <f>IF(OR(D959="",$B$18=""),"",D959/$B$18)</f>
        <v/>
      </c>
      <c r="F959" s="29">
        <f>IF(OR(C959="",$B$18=""),"",C959*60/$B$18)</f>
        <v/>
      </c>
    </row>
    <row r="960">
      <c r="A960" s="26" t="n"/>
      <c r="B960" s="44" t="n"/>
      <c r="C960" s="45">
        <f>IF(B960="","",$B$15*(B960-$B$14))</f>
        <v/>
      </c>
      <c r="D960" s="46">
        <f>IF(OR(A960="",C960="",D959="",C959=""),"",D959+(C959+C960)/2*(A960-A959)*60)</f>
        <v/>
      </c>
      <c r="E960" s="20">
        <f>IF(OR(D960="",$B$18=""),"",D960/$B$18)</f>
        <v/>
      </c>
      <c r="F960" s="29">
        <f>IF(OR(C960="",$B$18=""),"",C960*60/$B$18)</f>
        <v/>
      </c>
    </row>
    <row r="961">
      <c r="A961" s="26" t="n"/>
      <c r="B961" s="44" t="n"/>
      <c r="C961" s="45">
        <f>IF(B961="","",$B$15*(B961-$B$14))</f>
        <v/>
      </c>
      <c r="D961" s="46">
        <f>IF(OR(A961="",C961="",D960="",C960=""),"",D960+(C960+C961)/2*(A961-A960)*60)</f>
        <v/>
      </c>
      <c r="E961" s="20">
        <f>IF(OR(D961="",$B$18=""),"",D961/$B$18)</f>
        <v/>
      </c>
      <c r="F961" s="29">
        <f>IF(OR(C961="",$B$18=""),"",C961*60/$B$18)</f>
        <v/>
      </c>
    </row>
    <row r="962">
      <c r="A962" s="26" t="n"/>
      <c r="B962" s="44" t="n"/>
      <c r="C962" s="45">
        <f>IF(B962="","",$B$15*(B962-$B$14))</f>
        <v/>
      </c>
      <c r="D962" s="46">
        <f>IF(OR(A962="",C962="",D961="",C961=""),"",D961+(C961+C962)/2*(A962-A961)*60)</f>
        <v/>
      </c>
      <c r="E962" s="20">
        <f>IF(OR(D962="",$B$18=""),"",D962/$B$18)</f>
        <v/>
      </c>
      <c r="F962" s="29">
        <f>IF(OR(C962="",$B$18=""),"",C962*60/$B$18)</f>
        <v/>
      </c>
    </row>
    <row r="963">
      <c r="A963" s="26" t="n"/>
      <c r="B963" s="44" t="n"/>
      <c r="C963" s="45">
        <f>IF(B963="","",$B$15*(B963-$B$14))</f>
        <v/>
      </c>
      <c r="D963" s="46">
        <f>IF(OR(A963="",C963="",D962="",C962=""),"",D962+(C962+C963)/2*(A963-A962)*60)</f>
        <v/>
      </c>
      <c r="E963" s="20">
        <f>IF(OR(D963="",$B$18=""),"",D963/$B$18)</f>
        <v/>
      </c>
      <c r="F963" s="29">
        <f>IF(OR(C963="",$B$18=""),"",C963*60/$B$18)</f>
        <v/>
      </c>
    </row>
    <row r="964">
      <c r="A964" s="26" t="n"/>
      <c r="B964" s="44" t="n"/>
      <c r="C964" s="45">
        <f>IF(B964="","",$B$15*(B964-$B$14))</f>
        <v/>
      </c>
      <c r="D964" s="46">
        <f>IF(OR(A964="",C964="",D963="",C963=""),"",D963+(C963+C964)/2*(A964-A963)*60)</f>
        <v/>
      </c>
      <c r="E964" s="20">
        <f>IF(OR(D964="",$B$18=""),"",D964/$B$18)</f>
        <v/>
      </c>
      <c r="F964" s="29">
        <f>IF(OR(C964="",$B$18=""),"",C964*60/$B$18)</f>
        <v/>
      </c>
    </row>
    <row r="965">
      <c r="A965" s="26" t="n"/>
      <c r="B965" s="44" t="n"/>
      <c r="C965" s="45">
        <f>IF(B965="","",$B$15*(B965-$B$14))</f>
        <v/>
      </c>
      <c r="D965" s="46">
        <f>IF(OR(A965="",C965="",D964="",C964=""),"",D964+(C964+C965)/2*(A965-A964)*60)</f>
        <v/>
      </c>
      <c r="E965" s="20">
        <f>IF(OR(D965="",$B$18=""),"",D965/$B$18)</f>
        <v/>
      </c>
      <c r="F965" s="29">
        <f>IF(OR(C965="",$B$18=""),"",C965*60/$B$18)</f>
        <v/>
      </c>
    </row>
    <row r="966">
      <c r="A966" s="26" t="n"/>
      <c r="B966" s="44" t="n"/>
      <c r="C966" s="45">
        <f>IF(B966="","",$B$15*(B966-$B$14))</f>
        <v/>
      </c>
      <c r="D966" s="46">
        <f>IF(OR(A966="",C966="",D965="",C965=""),"",D965+(C965+C966)/2*(A966-A965)*60)</f>
        <v/>
      </c>
      <c r="E966" s="20">
        <f>IF(OR(D966="",$B$18=""),"",D966/$B$18)</f>
        <v/>
      </c>
      <c r="F966" s="29">
        <f>IF(OR(C966="",$B$18=""),"",C966*60/$B$18)</f>
        <v/>
      </c>
    </row>
    <row r="967">
      <c r="A967" s="26" t="n"/>
      <c r="B967" s="44" t="n"/>
      <c r="C967" s="45">
        <f>IF(B967="","",$B$15*(B967-$B$14))</f>
        <v/>
      </c>
      <c r="D967" s="46">
        <f>IF(OR(A967="",C967="",D966="",C966=""),"",D966+(C966+C967)/2*(A967-A966)*60)</f>
        <v/>
      </c>
      <c r="E967" s="20">
        <f>IF(OR(D967="",$B$18=""),"",D967/$B$18)</f>
        <v/>
      </c>
      <c r="F967" s="29">
        <f>IF(OR(C967="",$B$18=""),"",C967*60/$B$18)</f>
        <v/>
      </c>
    </row>
    <row r="968">
      <c r="A968" s="26" t="n"/>
      <c r="B968" s="44" t="n"/>
      <c r="C968" s="45">
        <f>IF(B968="","",$B$15*(B968-$B$14))</f>
        <v/>
      </c>
      <c r="D968" s="46">
        <f>IF(OR(A968="",C968="",D967="",C967=""),"",D967+(C967+C968)/2*(A968-A967)*60)</f>
        <v/>
      </c>
      <c r="E968" s="20">
        <f>IF(OR(D968="",$B$18=""),"",D968/$B$18)</f>
        <v/>
      </c>
      <c r="F968" s="29">
        <f>IF(OR(C968="",$B$18=""),"",C968*60/$B$18)</f>
        <v/>
      </c>
    </row>
    <row r="969">
      <c r="A969" s="26" t="n"/>
      <c r="B969" s="44" t="n"/>
      <c r="C969" s="45">
        <f>IF(B969="","",$B$15*(B969-$B$14))</f>
        <v/>
      </c>
      <c r="D969" s="46">
        <f>IF(OR(A969="",C969="",D968="",C968=""),"",D968+(C968+C969)/2*(A969-A968)*60)</f>
        <v/>
      </c>
      <c r="E969" s="20">
        <f>IF(OR(D969="",$B$18=""),"",D969/$B$18)</f>
        <v/>
      </c>
      <c r="F969" s="29">
        <f>IF(OR(C969="",$B$18=""),"",C969*60/$B$18)</f>
        <v/>
      </c>
    </row>
    <row r="970">
      <c r="A970" s="26" t="n"/>
      <c r="B970" s="44" t="n"/>
      <c r="C970" s="45">
        <f>IF(B970="","",$B$15*(B970-$B$14))</f>
        <v/>
      </c>
      <c r="D970" s="46">
        <f>IF(OR(A970="",C970="",D969="",C969=""),"",D969+(C969+C970)/2*(A970-A969)*60)</f>
        <v/>
      </c>
      <c r="E970" s="20">
        <f>IF(OR(D970="",$B$18=""),"",D970/$B$18)</f>
        <v/>
      </c>
      <c r="F970" s="29">
        <f>IF(OR(C970="",$B$18=""),"",C970*60/$B$18)</f>
        <v/>
      </c>
    </row>
    <row r="971">
      <c r="A971" s="26" t="n"/>
      <c r="B971" s="44" t="n"/>
      <c r="C971" s="45">
        <f>IF(B971="","",$B$15*(B971-$B$14))</f>
        <v/>
      </c>
      <c r="D971" s="46">
        <f>IF(OR(A971="",C971="",D970="",C970=""),"",D970+(C970+C971)/2*(A971-A970)*60)</f>
        <v/>
      </c>
      <c r="E971" s="20">
        <f>IF(OR(D971="",$B$18=""),"",D971/$B$18)</f>
        <v/>
      </c>
      <c r="F971" s="29">
        <f>IF(OR(C971="",$B$18=""),"",C971*60/$B$18)</f>
        <v/>
      </c>
    </row>
    <row r="972">
      <c r="A972" s="26" t="n"/>
      <c r="B972" s="44" t="n"/>
      <c r="C972" s="45">
        <f>IF(B972="","",$B$15*(B972-$B$14))</f>
        <v/>
      </c>
      <c r="D972" s="46">
        <f>IF(OR(A972="",C972="",D971="",C971=""),"",D971+(C971+C972)/2*(A972-A971)*60)</f>
        <v/>
      </c>
      <c r="E972" s="20">
        <f>IF(OR(D972="",$B$18=""),"",D972/$B$18)</f>
        <v/>
      </c>
      <c r="F972" s="29">
        <f>IF(OR(C972="",$B$18=""),"",C972*60/$B$18)</f>
        <v/>
      </c>
    </row>
    <row r="973">
      <c r="A973" s="26" t="n"/>
      <c r="B973" s="44" t="n"/>
      <c r="C973" s="45">
        <f>IF(B973="","",$B$15*(B973-$B$14))</f>
        <v/>
      </c>
      <c r="D973" s="46">
        <f>IF(OR(A973="",C973="",D972="",C972=""),"",D972+(C972+C973)/2*(A973-A972)*60)</f>
        <v/>
      </c>
      <c r="E973" s="20">
        <f>IF(OR(D973="",$B$18=""),"",D973/$B$18)</f>
        <v/>
      </c>
      <c r="F973" s="29">
        <f>IF(OR(C973="",$B$18=""),"",C973*60/$B$18)</f>
        <v/>
      </c>
    </row>
    <row r="974">
      <c r="A974" s="26" t="n"/>
      <c r="B974" s="44" t="n"/>
      <c r="C974" s="45">
        <f>IF(B974="","",$B$15*(B974-$B$14))</f>
        <v/>
      </c>
      <c r="D974" s="46">
        <f>IF(OR(A974="",C974="",D973="",C973=""),"",D973+(C973+C974)/2*(A974-A973)*60)</f>
        <v/>
      </c>
      <c r="E974" s="20">
        <f>IF(OR(D974="",$B$18=""),"",D974/$B$18)</f>
        <v/>
      </c>
      <c r="F974" s="29">
        <f>IF(OR(C974="",$B$18=""),"",C974*60/$B$18)</f>
        <v/>
      </c>
    </row>
    <row r="975">
      <c r="A975" s="26" t="n"/>
      <c r="B975" s="44" t="n"/>
      <c r="C975" s="45">
        <f>IF(B975="","",$B$15*(B975-$B$14))</f>
        <v/>
      </c>
      <c r="D975" s="46">
        <f>IF(OR(A975="",C975="",D974="",C974=""),"",D974+(C974+C975)/2*(A975-A974)*60)</f>
        <v/>
      </c>
      <c r="E975" s="20">
        <f>IF(OR(D975="",$B$18=""),"",D975/$B$18)</f>
        <v/>
      </c>
      <c r="F975" s="29">
        <f>IF(OR(C975="",$B$18=""),"",C975*60/$B$18)</f>
        <v/>
      </c>
    </row>
    <row r="976">
      <c r="A976" s="26" t="n"/>
      <c r="B976" s="44" t="n"/>
      <c r="C976" s="45">
        <f>IF(B976="","",$B$15*(B976-$B$14))</f>
        <v/>
      </c>
      <c r="D976" s="46">
        <f>IF(OR(A976="",C976="",D975="",C975=""),"",D975+(C975+C976)/2*(A976-A975)*60)</f>
        <v/>
      </c>
      <c r="E976" s="20">
        <f>IF(OR(D976="",$B$18=""),"",D976/$B$18)</f>
        <v/>
      </c>
      <c r="F976" s="29">
        <f>IF(OR(C976="",$B$18=""),"",C976*60/$B$18)</f>
        <v/>
      </c>
    </row>
    <row r="977">
      <c r="A977" s="26" t="n"/>
      <c r="B977" s="44" t="n"/>
      <c r="C977" s="45">
        <f>IF(B977="","",$B$15*(B977-$B$14))</f>
        <v/>
      </c>
      <c r="D977" s="46">
        <f>IF(OR(A977="",C977="",D976="",C976=""),"",D976+(C976+C977)/2*(A977-A976)*60)</f>
        <v/>
      </c>
      <c r="E977" s="20">
        <f>IF(OR(D977="",$B$18=""),"",D977/$B$18)</f>
        <v/>
      </c>
      <c r="F977" s="29">
        <f>IF(OR(C977="",$B$18=""),"",C977*60/$B$18)</f>
        <v/>
      </c>
    </row>
    <row r="978">
      <c r="A978" s="26" t="n"/>
      <c r="B978" s="44" t="n"/>
      <c r="C978" s="45">
        <f>IF(B978="","",$B$15*(B978-$B$14))</f>
        <v/>
      </c>
      <c r="D978" s="46">
        <f>IF(OR(A978="",C978="",D977="",C977=""),"",D977+(C977+C978)/2*(A978-A977)*60)</f>
        <v/>
      </c>
      <c r="E978" s="20">
        <f>IF(OR(D978="",$B$18=""),"",D978/$B$18)</f>
        <v/>
      </c>
      <c r="F978" s="29">
        <f>IF(OR(C978="",$B$18=""),"",C978*60/$B$18)</f>
        <v/>
      </c>
    </row>
    <row r="979">
      <c r="A979" s="26" t="n"/>
      <c r="B979" s="44" t="n"/>
      <c r="C979" s="45">
        <f>IF(B979="","",$B$15*(B979-$B$14))</f>
        <v/>
      </c>
      <c r="D979" s="46">
        <f>IF(OR(A979="",C979="",D978="",C978=""),"",D978+(C978+C979)/2*(A979-A978)*60)</f>
        <v/>
      </c>
      <c r="E979" s="20">
        <f>IF(OR(D979="",$B$18=""),"",D979/$B$18)</f>
        <v/>
      </c>
      <c r="F979" s="29">
        <f>IF(OR(C979="",$B$18=""),"",C979*60/$B$18)</f>
        <v/>
      </c>
    </row>
    <row r="980">
      <c r="A980" s="26" t="n"/>
      <c r="B980" s="44" t="n"/>
      <c r="C980" s="45">
        <f>IF(B980="","",$B$15*(B980-$B$14))</f>
        <v/>
      </c>
      <c r="D980" s="46">
        <f>IF(OR(A980="",C980="",D979="",C979=""),"",D979+(C979+C980)/2*(A980-A979)*60)</f>
        <v/>
      </c>
      <c r="E980" s="20">
        <f>IF(OR(D980="",$B$18=""),"",D980/$B$18)</f>
        <v/>
      </c>
      <c r="F980" s="29">
        <f>IF(OR(C980="",$B$18=""),"",C980*60/$B$18)</f>
        <v/>
      </c>
    </row>
    <row r="981">
      <c r="A981" s="26" t="n"/>
      <c r="B981" s="44" t="n"/>
      <c r="C981" s="45">
        <f>IF(B981="","",$B$15*(B981-$B$14))</f>
        <v/>
      </c>
      <c r="D981" s="46">
        <f>IF(OR(A981="",C981="",D980="",C980=""),"",D980+(C980+C981)/2*(A981-A980)*60)</f>
        <v/>
      </c>
      <c r="E981" s="20">
        <f>IF(OR(D981="",$B$18=""),"",D981/$B$18)</f>
        <v/>
      </c>
      <c r="F981" s="29">
        <f>IF(OR(C981="",$B$18=""),"",C981*60/$B$18)</f>
        <v/>
      </c>
    </row>
    <row r="982">
      <c r="A982" s="26" t="n"/>
      <c r="B982" s="44" t="n"/>
      <c r="C982" s="45">
        <f>IF(B982="","",$B$15*(B982-$B$14))</f>
        <v/>
      </c>
      <c r="D982" s="46">
        <f>IF(OR(A982="",C982="",D981="",C981=""),"",D981+(C981+C982)/2*(A982-A981)*60)</f>
        <v/>
      </c>
      <c r="E982" s="20">
        <f>IF(OR(D982="",$B$18=""),"",D982/$B$18)</f>
        <v/>
      </c>
      <c r="F982" s="29">
        <f>IF(OR(C982="",$B$18=""),"",C982*60/$B$18)</f>
        <v/>
      </c>
    </row>
    <row r="983">
      <c r="A983" s="26" t="n"/>
      <c r="B983" s="44" t="n"/>
      <c r="C983" s="45">
        <f>IF(B983="","",$B$15*(B983-$B$14))</f>
        <v/>
      </c>
      <c r="D983" s="46">
        <f>IF(OR(A983="",C983="",D982="",C982=""),"",D982+(C982+C983)/2*(A983-A982)*60)</f>
        <v/>
      </c>
      <c r="E983" s="20">
        <f>IF(OR(D983="",$B$18=""),"",D983/$B$18)</f>
        <v/>
      </c>
      <c r="F983" s="29">
        <f>IF(OR(C983="",$B$18=""),"",C983*60/$B$18)</f>
        <v/>
      </c>
    </row>
    <row r="984">
      <c r="A984" s="26" t="n"/>
      <c r="B984" s="44" t="n"/>
      <c r="C984" s="45">
        <f>IF(B984="","",$B$15*(B984-$B$14))</f>
        <v/>
      </c>
      <c r="D984" s="46">
        <f>IF(OR(A984="",C984="",D983="",C983=""),"",D983+(C983+C984)/2*(A984-A983)*60)</f>
        <v/>
      </c>
      <c r="E984" s="20">
        <f>IF(OR(D984="",$B$18=""),"",D984/$B$18)</f>
        <v/>
      </c>
      <c r="F984" s="29">
        <f>IF(OR(C984="",$B$18=""),"",C984*60/$B$18)</f>
        <v/>
      </c>
    </row>
    <row r="985">
      <c r="A985" s="26" t="n"/>
      <c r="B985" s="44" t="n"/>
      <c r="C985" s="45">
        <f>IF(B985="","",$B$15*(B985-$B$14))</f>
        <v/>
      </c>
      <c r="D985" s="46">
        <f>IF(OR(A985="",C985="",D984="",C984=""),"",D984+(C984+C985)/2*(A985-A984)*60)</f>
        <v/>
      </c>
      <c r="E985" s="20">
        <f>IF(OR(D985="",$B$18=""),"",D985/$B$18)</f>
        <v/>
      </c>
      <c r="F985" s="29">
        <f>IF(OR(C985="",$B$18=""),"",C985*60/$B$18)</f>
        <v/>
      </c>
    </row>
    <row r="986">
      <c r="A986" s="26" t="n"/>
      <c r="B986" s="44" t="n"/>
      <c r="C986" s="45">
        <f>IF(B986="","",$B$15*(B986-$B$14))</f>
        <v/>
      </c>
      <c r="D986" s="46">
        <f>IF(OR(A986="",C986="",D985="",C985=""),"",D985+(C985+C986)/2*(A986-A985)*60)</f>
        <v/>
      </c>
      <c r="E986" s="20">
        <f>IF(OR(D986="",$B$18=""),"",D986/$B$18)</f>
        <v/>
      </c>
      <c r="F986" s="29">
        <f>IF(OR(C986="",$B$18=""),"",C986*60/$B$18)</f>
        <v/>
      </c>
    </row>
    <row r="987">
      <c r="A987" s="26" t="n"/>
      <c r="B987" s="44" t="n"/>
      <c r="C987" s="45">
        <f>IF(B987="","",$B$15*(B987-$B$14))</f>
        <v/>
      </c>
      <c r="D987" s="46">
        <f>IF(OR(A987="",C987="",D986="",C986=""),"",D986+(C986+C987)/2*(A987-A986)*60)</f>
        <v/>
      </c>
      <c r="E987" s="20">
        <f>IF(OR(D987="",$B$18=""),"",D987/$B$18)</f>
        <v/>
      </c>
      <c r="F987" s="29">
        <f>IF(OR(C987="",$B$18=""),"",C987*60/$B$18)</f>
        <v/>
      </c>
    </row>
    <row r="988">
      <c r="A988" s="26" t="n"/>
      <c r="B988" s="44" t="n"/>
      <c r="C988" s="45">
        <f>IF(B988="","",$B$15*(B988-$B$14))</f>
        <v/>
      </c>
      <c r="D988" s="46">
        <f>IF(OR(A988="",C988="",D987="",C987=""),"",D987+(C987+C988)/2*(A988-A987)*60)</f>
        <v/>
      </c>
      <c r="E988" s="20">
        <f>IF(OR(D988="",$B$18=""),"",D988/$B$18)</f>
        <v/>
      </c>
      <c r="F988" s="29">
        <f>IF(OR(C988="",$B$18=""),"",C988*60/$B$18)</f>
        <v/>
      </c>
    </row>
    <row r="989">
      <c r="A989" s="26" t="n"/>
      <c r="B989" s="44" t="n"/>
      <c r="C989" s="45">
        <f>IF(B989="","",$B$15*(B989-$B$14))</f>
        <v/>
      </c>
      <c r="D989" s="46">
        <f>IF(OR(A989="",C989="",D988="",C988=""),"",D988+(C988+C989)/2*(A989-A988)*60)</f>
        <v/>
      </c>
      <c r="E989" s="20">
        <f>IF(OR(D989="",$B$18=""),"",D989/$B$18)</f>
        <v/>
      </c>
      <c r="F989" s="29">
        <f>IF(OR(C989="",$B$18=""),"",C989*60/$B$18)</f>
        <v/>
      </c>
    </row>
    <row r="990">
      <c r="A990" s="26" t="n"/>
      <c r="B990" s="44" t="n"/>
      <c r="C990" s="45">
        <f>IF(B990="","",$B$15*(B990-$B$14))</f>
        <v/>
      </c>
      <c r="D990" s="46">
        <f>IF(OR(A990="",C990="",D989="",C989=""),"",D989+(C989+C990)/2*(A990-A989)*60)</f>
        <v/>
      </c>
      <c r="E990" s="20">
        <f>IF(OR(D990="",$B$18=""),"",D990/$B$18)</f>
        <v/>
      </c>
      <c r="F990" s="29">
        <f>IF(OR(C990="",$B$18=""),"",C990*60/$B$18)</f>
        <v/>
      </c>
    </row>
    <row r="991">
      <c r="A991" s="26" t="n"/>
      <c r="B991" s="44" t="n"/>
      <c r="C991" s="45">
        <f>IF(B991="","",$B$15*(B991-$B$14))</f>
        <v/>
      </c>
      <c r="D991" s="46">
        <f>IF(OR(A991="",C991="",D990="",C990=""),"",D990+(C990+C991)/2*(A991-A990)*60)</f>
        <v/>
      </c>
      <c r="E991" s="20">
        <f>IF(OR(D991="",$B$18=""),"",D991/$B$18)</f>
        <v/>
      </c>
      <c r="F991" s="29">
        <f>IF(OR(C991="",$B$18=""),"",C991*60/$B$18)</f>
        <v/>
      </c>
    </row>
    <row r="992">
      <c r="A992" s="26" t="n"/>
      <c r="B992" s="44" t="n"/>
      <c r="C992" s="45">
        <f>IF(B992="","",$B$15*(B992-$B$14))</f>
        <v/>
      </c>
      <c r="D992" s="46">
        <f>IF(OR(A992="",C992="",D991="",C991=""),"",D991+(C991+C992)/2*(A992-A991)*60)</f>
        <v/>
      </c>
      <c r="E992" s="20">
        <f>IF(OR(D992="",$B$18=""),"",D992/$B$18)</f>
        <v/>
      </c>
      <c r="F992" s="29">
        <f>IF(OR(C992="",$B$18=""),"",C992*60/$B$18)</f>
        <v/>
      </c>
    </row>
    <row r="993">
      <c r="A993" s="26" t="n"/>
      <c r="B993" s="44" t="n"/>
      <c r="C993" s="45">
        <f>IF(B993="","",$B$15*(B993-$B$14))</f>
        <v/>
      </c>
      <c r="D993" s="46">
        <f>IF(OR(A993="",C993="",D992="",C992=""),"",D992+(C992+C993)/2*(A993-A992)*60)</f>
        <v/>
      </c>
      <c r="E993" s="20">
        <f>IF(OR(D993="",$B$18=""),"",D993/$B$18)</f>
        <v/>
      </c>
      <c r="F993" s="29">
        <f>IF(OR(C993="",$B$18=""),"",C993*60/$B$18)</f>
        <v/>
      </c>
    </row>
    <row r="994">
      <c r="A994" s="26" t="n"/>
      <c r="B994" s="44" t="n"/>
      <c r="C994" s="45">
        <f>IF(B994="","",$B$15*(B994-$B$14))</f>
        <v/>
      </c>
      <c r="D994" s="46">
        <f>IF(OR(A994="",C994="",D993="",C993=""),"",D993+(C993+C994)/2*(A994-A993)*60)</f>
        <v/>
      </c>
      <c r="E994" s="20">
        <f>IF(OR(D994="",$B$18=""),"",D994/$B$18)</f>
        <v/>
      </c>
      <c r="F994" s="29">
        <f>IF(OR(C994="",$B$18=""),"",C994*60/$B$18)</f>
        <v/>
      </c>
    </row>
    <row r="995">
      <c r="A995" s="26" t="n"/>
      <c r="B995" s="44" t="n"/>
      <c r="C995" s="45">
        <f>IF(B995="","",$B$15*(B995-$B$14))</f>
        <v/>
      </c>
      <c r="D995" s="46">
        <f>IF(OR(A995="",C995="",D994="",C994=""),"",D994+(C994+C995)/2*(A995-A994)*60)</f>
        <v/>
      </c>
      <c r="E995" s="20">
        <f>IF(OR(D995="",$B$18=""),"",D995/$B$18)</f>
        <v/>
      </c>
      <c r="F995" s="29">
        <f>IF(OR(C995="",$B$18=""),"",C995*60/$B$18)</f>
        <v/>
      </c>
    </row>
    <row r="996">
      <c r="A996" s="26" t="n"/>
      <c r="B996" s="44" t="n"/>
      <c r="C996" s="45">
        <f>IF(B996="","",$B$15*(B996-$B$14))</f>
        <v/>
      </c>
      <c r="D996" s="46">
        <f>IF(OR(A996="",C996="",D995="",C995=""),"",D995+(C995+C996)/2*(A996-A995)*60)</f>
        <v/>
      </c>
      <c r="E996" s="20">
        <f>IF(OR(D996="",$B$18=""),"",D996/$B$18)</f>
        <v/>
      </c>
      <c r="F996" s="29">
        <f>IF(OR(C996="",$B$18=""),"",C996*60/$B$18)</f>
        <v/>
      </c>
    </row>
    <row r="997">
      <c r="A997" s="26" t="n"/>
      <c r="B997" s="44" t="n"/>
      <c r="C997" s="45">
        <f>IF(B997="","",$B$15*(B997-$B$14))</f>
        <v/>
      </c>
      <c r="D997" s="46">
        <f>IF(OR(A997="",C997="",D996="",C996=""),"",D996+(C996+C997)/2*(A997-A996)*60)</f>
        <v/>
      </c>
      <c r="E997" s="20">
        <f>IF(OR(D997="",$B$18=""),"",D997/$B$18)</f>
        <v/>
      </c>
      <c r="F997" s="29">
        <f>IF(OR(C997="",$B$18=""),"",C997*60/$B$18)</f>
        <v/>
      </c>
    </row>
    <row r="998">
      <c r="A998" s="26" t="n"/>
      <c r="B998" s="44" t="n"/>
      <c r="C998" s="45">
        <f>IF(B998="","",$B$15*(B998-$B$14))</f>
        <v/>
      </c>
      <c r="D998" s="46">
        <f>IF(OR(A998="",C998="",D997="",C997=""),"",D997+(C997+C998)/2*(A998-A997)*60)</f>
        <v/>
      </c>
      <c r="E998" s="20">
        <f>IF(OR(D998="",$B$18=""),"",D998/$B$18)</f>
        <v/>
      </c>
      <c r="F998" s="29">
        <f>IF(OR(C998="",$B$18=""),"",C998*60/$B$18)</f>
        <v/>
      </c>
    </row>
    <row r="999">
      <c r="A999" s="26" t="n"/>
      <c r="B999" s="44" t="n"/>
      <c r="C999" s="45">
        <f>IF(B999="","",$B$15*(B999-$B$14))</f>
        <v/>
      </c>
      <c r="D999" s="46">
        <f>IF(OR(A999="",C999="",D998="",C998=""),"",D998+(C998+C999)/2*(A999-A998)*60)</f>
        <v/>
      </c>
      <c r="E999" s="20">
        <f>IF(OR(D999="",$B$18=""),"",D999/$B$18)</f>
        <v/>
      </c>
      <c r="F999" s="29">
        <f>IF(OR(C999="",$B$18=""),"",C999*60/$B$18)</f>
        <v/>
      </c>
    </row>
    <row r="1000">
      <c r="A1000" s="26" t="n"/>
      <c r="B1000" s="44" t="n"/>
      <c r="C1000" s="45">
        <f>IF(B1000="","",$B$15*(B1000-$B$14))</f>
        <v/>
      </c>
      <c r="D1000" s="46">
        <f>IF(OR(A1000="",C1000="",D999="",C999=""),"",D999+(C999+C1000)/2*(A1000-A999)*60)</f>
        <v/>
      </c>
      <c r="E1000" s="20">
        <f>IF(OR(D1000="",$B$18=""),"",D1000/$B$18)</f>
        <v/>
      </c>
      <c r="F1000" s="29">
        <f>IF(OR(C1000="",$B$18=""),"",C1000*60/$B$18)</f>
        <v/>
      </c>
    </row>
    <row r="1001">
      <c r="A1001" s="26" t="n"/>
      <c r="B1001" s="44" t="n"/>
      <c r="C1001" s="45">
        <f>IF(B1001="","",$B$15*(B1001-$B$14))</f>
        <v/>
      </c>
      <c r="D1001" s="46">
        <f>IF(OR(A1001="",C1001="",D1000="",C1000=""),"",D1000+(C1000+C1001)/2*(A1001-A1000)*60)</f>
        <v/>
      </c>
      <c r="E1001" s="20">
        <f>IF(OR(D1001="",$B$18=""),"",D1001/$B$18)</f>
        <v/>
      </c>
      <c r="F1001" s="29">
        <f>IF(OR(C1001="",$B$18=""),"",C1001*60/$B$18)</f>
        <v/>
      </c>
    </row>
    <row r="1002">
      <c r="A1002" s="26" t="n"/>
      <c r="B1002" s="44" t="n"/>
      <c r="C1002" s="45">
        <f>IF(B1002="","",$B$15*(B1002-$B$14))</f>
        <v/>
      </c>
      <c r="D1002" s="46">
        <f>IF(OR(A1002="",C1002="",D1001="",C1001=""),"",D1001+(C1001+C1002)/2*(A1002-A1001)*60)</f>
        <v/>
      </c>
      <c r="E1002" s="20">
        <f>IF(OR(D1002="",$B$18=""),"",D1002/$B$18)</f>
        <v/>
      </c>
      <c r="F1002" s="29">
        <f>IF(OR(C1002="",$B$18=""),"",C1002*60/$B$18)</f>
        <v/>
      </c>
    </row>
    <row r="1003">
      <c r="A1003" s="26" t="n"/>
      <c r="B1003" s="44" t="n"/>
      <c r="C1003" s="45">
        <f>IF(B1003="","",$B$15*(B1003-$B$14))</f>
        <v/>
      </c>
      <c r="D1003" s="46">
        <f>IF(OR(A1003="",C1003="",D1002="",C1002=""),"",D1002+(C1002+C1003)/2*(A1003-A1002)*60)</f>
        <v/>
      </c>
      <c r="E1003" s="20">
        <f>IF(OR(D1003="",$B$18=""),"",D1003/$B$18)</f>
        <v/>
      </c>
      <c r="F1003" s="29">
        <f>IF(OR(C1003="",$B$18=""),"",C1003*60/$B$18)</f>
        <v/>
      </c>
    </row>
    <row r="1004">
      <c r="A1004" s="26" t="n"/>
      <c r="B1004" s="44" t="n"/>
      <c r="C1004" s="45">
        <f>IF(B1004="","",$B$15*(B1004-$B$14))</f>
        <v/>
      </c>
      <c r="D1004" s="46">
        <f>IF(OR(A1004="",C1004="",D1003="",C1003=""),"",D1003+(C1003+C1004)/2*(A1004-A1003)*60)</f>
        <v/>
      </c>
      <c r="E1004" s="20">
        <f>IF(OR(D1004="",$B$18=""),"",D1004/$B$18)</f>
        <v/>
      </c>
      <c r="F1004" s="29">
        <f>IF(OR(C1004="",$B$18=""),"",C1004*60/$B$18)</f>
        <v/>
      </c>
    </row>
    <row r="1005">
      <c r="A1005" s="26" t="n"/>
      <c r="B1005" s="44" t="n"/>
      <c r="C1005" s="45">
        <f>IF(B1005="","",$B$15*(B1005-$B$14))</f>
        <v/>
      </c>
      <c r="D1005" s="46">
        <f>IF(OR(A1005="",C1005="",D1004="",C1004=""),"",D1004+(C1004+C1005)/2*(A1005-A1004)*60)</f>
        <v/>
      </c>
      <c r="E1005" s="20">
        <f>IF(OR(D1005="",$B$18=""),"",D1005/$B$18)</f>
        <v/>
      </c>
      <c r="F1005" s="29">
        <f>IF(OR(C1005="",$B$18=""),"",C1005*60/$B$18)</f>
        <v/>
      </c>
    </row>
    <row r="1006">
      <c r="A1006" s="26" t="n"/>
      <c r="B1006" s="44" t="n"/>
      <c r="C1006" s="45">
        <f>IF(B1006="","",$B$15*(B1006-$B$14))</f>
        <v/>
      </c>
      <c r="D1006" s="46">
        <f>IF(OR(A1006="",C1006="",D1005="",C1005=""),"",D1005+(C1005+C1006)/2*(A1006-A1005)*60)</f>
        <v/>
      </c>
      <c r="E1006" s="20">
        <f>IF(OR(D1006="",$B$18=""),"",D1006/$B$18)</f>
        <v/>
      </c>
      <c r="F1006" s="29">
        <f>IF(OR(C1006="",$B$18=""),"",C1006*60/$B$18)</f>
        <v/>
      </c>
    </row>
    <row r="1007">
      <c r="A1007" s="26" t="n"/>
      <c r="B1007" s="44" t="n"/>
      <c r="C1007" s="45">
        <f>IF(B1007="","",$B$15*(B1007-$B$14))</f>
        <v/>
      </c>
      <c r="D1007" s="46">
        <f>IF(OR(A1007="",C1007="",D1006="",C1006=""),"",D1006+(C1006+C1007)/2*(A1007-A1006)*60)</f>
        <v/>
      </c>
      <c r="E1007" s="20">
        <f>IF(OR(D1007="",$B$18=""),"",D1007/$B$18)</f>
        <v/>
      </c>
      <c r="F1007" s="29">
        <f>IF(OR(C1007="",$B$18=""),"",C1007*60/$B$18)</f>
        <v/>
      </c>
    </row>
    <row r="1008">
      <c r="A1008" s="26" t="n"/>
      <c r="B1008" s="44" t="n"/>
      <c r="C1008" s="45">
        <f>IF(B1008="","",$B$15*(B1008-$B$14))</f>
        <v/>
      </c>
      <c r="D1008" s="46">
        <f>IF(OR(A1008="",C1008="",D1007="",C1007=""),"",D1007+(C1007+C1008)/2*(A1008-A1007)*60)</f>
        <v/>
      </c>
      <c r="E1008" s="20">
        <f>IF(OR(D1008="",$B$18=""),"",D1008/$B$18)</f>
        <v/>
      </c>
      <c r="F1008" s="29">
        <f>IF(OR(C1008="",$B$18=""),"",C1008*60/$B$18)</f>
        <v/>
      </c>
    </row>
    <row r="1009">
      <c r="A1009" s="26" t="n"/>
      <c r="B1009" s="44" t="n"/>
      <c r="C1009" s="45">
        <f>IF(B1009="","",$B$15*(B1009-$B$14))</f>
        <v/>
      </c>
      <c r="D1009" s="46">
        <f>IF(OR(A1009="",C1009="",D1008="",C1008=""),"",D1008+(C1008+C1009)/2*(A1009-A1008)*60)</f>
        <v/>
      </c>
      <c r="E1009" s="20">
        <f>IF(OR(D1009="",$B$18=""),"",D1009/$B$18)</f>
        <v/>
      </c>
      <c r="F1009" s="29">
        <f>IF(OR(C1009="",$B$18=""),"",C1009*60/$B$18)</f>
        <v/>
      </c>
    </row>
    <row r="1010">
      <c r="A1010" s="26" t="n"/>
      <c r="B1010" s="44" t="n"/>
      <c r="C1010" s="45">
        <f>IF(B1010="","",$B$15*(B1010-$B$14))</f>
        <v/>
      </c>
      <c r="D1010" s="46">
        <f>IF(OR(A1010="",C1010="",D1009="",C1009=""),"",D1009+(C1009+C1010)/2*(A1010-A1009)*60)</f>
        <v/>
      </c>
      <c r="E1010" s="20">
        <f>IF(OR(D1010="",$B$18=""),"",D1010/$B$18)</f>
        <v/>
      </c>
      <c r="F1010" s="29">
        <f>IF(OR(C1010="",$B$18=""),"",C1010*60/$B$18)</f>
        <v/>
      </c>
    </row>
    <row r="1011">
      <c r="A1011" s="26" t="n"/>
      <c r="B1011" s="44" t="n"/>
      <c r="C1011" s="45">
        <f>IF(B1011="","",$B$15*(B1011-$B$14))</f>
        <v/>
      </c>
      <c r="D1011" s="46">
        <f>IF(OR(A1011="",C1011="",D1010="",C1010=""),"",D1010+(C1010+C1011)/2*(A1011-A1010)*60)</f>
        <v/>
      </c>
      <c r="E1011" s="20">
        <f>IF(OR(D1011="",$B$18=""),"",D1011/$B$18)</f>
        <v/>
      </c>
      <c r="F1011" s="29">
        <f>IF(OR(C1011="",$B$18=""),"",C1011*60/$B$18)</f>
        <v/>
      </c>
    </row>
    <row r="1012">
      <c r="A1012" s="26" t="n"/>
      <c r="B1012" s="44" t="n"/>
      <c r="C1012" s="45">
        <f>IF(B1012="","",$B$15*(B1012-$B$14))</f>
        <v/>
      </c>
      <c r="D1012" s="46">
        <f>IF(OR(A1012="",C1012="",D1011="",C1011=""),"",D1011+(C1011+C1012)/2*(A1012-A1011)*60)</f>
        <v/>
      </c>
      <c r="E1012" s="20">
        <f>IF(OR(D1012="",$B$18=""),"",D1012/$B$18)</f>
        <v/>
      </c>
      <c r="F1012" s="29">
        <f>IF(OR(C1012="",$B$18=""),"",C1012*60/$B$18)</f>
        <v/>
      </c>
    </row>
    <row r="1013">
      <c r="A1013" s="26" t="n"/>
      <c r="B1013" s="44" t="n"/>
      <c r="C1013" s="45">
        <f>IF(B1013="","",$B$15*(B1013-$B$14))</f>
        <v/>
      </c>
      <c r="D1013" s="46">
        <f>IF(OR(A1013="",C1013="",D1012="",C1012=""),"",D1012+(C1012+C1013)/2*(A1013-A1012)*60)</f>
        <v/>
      </c>
      <c r="E1013" s="20">
        <f>IF(OR(D1013="",$B$18=""),"",D1013/$B$18)</f>
        <v/>
      </c>
      <c r="F1013" s="29">
        <f>IF(OR(C1013="",$B$18=""),"",C1013*60/$B$18)</f>
        <v/>
      </c>
    </row>
    <row r="1014">
      <c r="A1014" s="26" t="n"/>
      <c r="B1014" s="44" t="n"/>
      <c r="C1014" s="45">
        <f>IF(B1014="","",$B$15*(B1014-$B$14))</f>
        <v/>
      </c>
      <c r="D1014" s="46">
        <f>IF(OR(A1014="",C1014="",D1013="",C1013=""),"",D1013+(C1013+C1014)/2*(A1014-A1013)*60)</f>
        <v/>
      </c>
      <c r="E1014" s="20">
        <f>IF(OR(D1014="",$B$18=""),"",D1014/$B$18)</f>
        <v/>
      </c>
      <c r="F1014" s="29">
        <f>IF(OR(C1014="",$B$18=""),"",C1014*60/$B$18)</f>
        <v/>
      </c>
    </row>
    <row r="1015">
      <c r="A1015" s="26" t="n"/>
      <c r="B1015" s="44" t="n"/>
      <c r="C1015" s="45">
        <f>IF(B1015="","",$B$15*(B1015-$B$14))</f>
        <v/>
      </c>
      <c r="D1015" s="46">
        <f>IF(OR(A1015="",C1015="",D1014="",C1014=""),"",D1014+(C1014+C1015)/2*(A1015-A1014)*60)</f>
        <v/>
      </c>
      <c r="E1015" s="20">
        <f>IF(OR(D1015="",$B$18=""),"",D1015/$B$18)</f>
        <v/>
      </c>
      <c r="F1015" s="29">
        <f>IF(OR(C1015="",$B$18=""),"",C1015*60/$B$18)</f>
        <v/>
      </c>
    </row>
    <row r="1016">
      <c r="A1016" s="26" t="n"/>
      <c r="B1016" s="44" t="n"/>
      <c r="C1016" s="45">
        <f>IF(B1016="","",$B$15*(B1016-$B$14))</f>
        <v/>
      </c>
      <c r="D1016" s="46">
        <f>IF(OR(A1016="",C1016="",D1015="",C1015=""),"",D1015+(C1015+C1016)/2*(A1016-A1015)*60)</f>
        <v/>
      </c>
      <c r="E1016" s="20">
        <f>IF(OR(D1016="",$B$18=""),"",D1016/$B$18)</f>
        <v/>
      </c>
      <c r="F1016" s="29">
        <f>IF(OR(C1016="",$B$18=""),"",C1016*60/$B$18)</f>
        <v/>
      </c>
    </row>
    <row r="1017">
      <c r="A1017" s="26" t="n"/>
      <c r="B1017" s="44" t="n"/>
      <c r="C1017" s="45">
        <f>IF(B1017="","",$B$15*(B1017-$B$14))</f>
        <v/>
      </c>
      <c r="D1017" s="46">
        <f>IF(OR(A1017="",C1017="",D1016="",C1016=""),"",D1016+(C1016+C1017)/2*(A1017-A1016)*60)</f>
        <v/>
      </c>
      <c r="E1017" s="20">
        <f>IF(OR(D1017="",$B$18=""),"",D1017/$B$18)</f>
        <v/>
      </c>
      <c r="F1017" s="29">
        <f>IF(OR(C1017="",$B$18=""),"",C1017*60/$B$18)</f>
        <v/>
      </c>
    </row>
    <row r="1018">
      <c r="A1018" s="26" t="n"/>
      <c r="B1018" s="44" t="n"/>
      <c r="C1018" s="45">
        <f>IF(B1018="","",$B$15*(B1018-$B$14))</f>
        <v/>
      </c>
      <c r="D1018" s="46">
        <f>IF(OR(A1018="",C1018="",D1017="",C1017=""),"",D1017+(C1017+C1018)/2*(A1018-A1017)*60)</f>
        <v/>
      </c>
      <c r="E1018" s="20">
        <f>IF(OR(D1018="",$B$18=""),"",D1018/$B$18)</f>
        <v/>
      </c>
      <c r="F1018" s="29">
        <f>IF(OR(C1018="",$B$18=""),"",C1018*60/$B$18)</f>
        <v/>
      </c>
    </row>
    <row r="1019">
      <c r="A1019" s="26" t="n"/>
      <c r="B1019" s="44" t="n"/>
      <c r="C1019" s="45">
        <f>IF(B1019="","",$B$15*(B1019-$B$14))</f>
        <v/>
      </c>
      <c r="D1019" s="46">
        <f>IF(OR(A1019="",C1019="",D1018="",C1018=""),"",D1018+(C1018+C1019)/2*(A1019-A1018)*60)</f>
        <v/>
      </c>
      <c r="E1019" s="20">
        <f>IF(OR(D1019="",$B$18=""),"",D1019/$B$18)</f>
        <v/>
      </c>
      <c r="F1019" s="29">
        <f>IF(OR(C1019="",$B$18=""),"",C1019*60/$B$18)</f>
        <v/>
      </c>
    </row>
    <row r="1020">
      <c r="A1020" s="26" t="n"/>
      <c r="B1020" s="44" t="n"/>
      <c r="C1020" s="45">
        <f>IF(B1020="","",$B$15*(B1020-$B$14))</f>
        <v/>
      </c>
      <c r="D1020" s="46">
        <f>IF(OR(A1020="",C1020="",D1019="",C1019=""),"",D1019+(C1019+C1020)/2*(A1020-A1019)*60)</f>
        <v/>
      </c>
      <c r="E1020" s="20">
        <f>IF(OR(D1020="",$B$18=""),"",D1020/$B$18)</f>
        <v/>
      </c>
      <c r="F1020" s="29">
        <f>IF(OR(C1020="",$B$18=""),"",C1020*60/$B$18)</f>
        <v/>
      </c>
    </row>
    <row r="1021">
      <c r="A1021" s="26" t="n"/>
      <c r="B1021" s="44" t="n"/>
      <c r="C1021" s="45">
        <f>IF(B1021="","",$B$15*(B1021-$B$14))</f>
        <v/>
      </c>
      <c r="D1021" s="46">
        <f>IF(OR(A1021="",C1021="",D1020="",C1020=""),"",D1020+(C1020+C1021)/2*(A1021-A1020)*60)</f>
        <v/>
      </c>
      <c r="E1021" s="20">
        <f>IF(OR(D1021="",$B$18=""),"",D1021/$B$18)</f>
        <v/>
      </c>
      <c r="F1021" s="29">
        <f>IF(OR(C1021="",$B$18=""),"",C1021*60/$B$18)</f>
        <v/>
      </c>
    </row>
    <row r="1022">
      <c r="A1022" s="26" t="n"/>
      <c r="B1022" s="44" t="n"/>
      <c r="C1022" s="45">
        <f>IF(B1022="","",$B$15*(B1022-$B$14))</f>
        <v/>
      </c>
      <c r="D1022" s="46">
        <f>IF(OR(A1022="",C1022="",D1021="",C1021=""),"",D1021+(C1021+C1022)/2*(A1022-A1021)*60)</f>
        <v/>
      </c>
      <c r="E1022" s="20">
        <f>IF(OR(D1022="",$B$18=""),"",D1022/$B$18)</f>
        <v/>
      </c>
      <c r="F1022" s="29">
        <f>IF(OR(C1022="",$B$18=""),"",C1022*60/$B$18)</f>
        <v/>
      </c>
    </row>
    <row r="1023">
      <c r="A1023" s="26" t="n"/>
      <c r="B1023" s="44" t="n"/>
      <c r="C1023" s="45">
        <f>IF(B1023="","",$B$15*(B1023-$B$14))</f>
        <v/>
      </c>
      <c r="D1023" s="46">
        <f>IF(OR(A1023="",C1023="",D1022="",C1022=""),"",D1022+(C1022+C1023)/2*(A1023-A1022)*60)</f>
        <v/>
      </c>
      <c r="E1023" s="20">
        <f>IF(OR(D1023="",$B$18=""),"",D1023/$B$18)</f>
        <v/>
      </c>
      <c r="F1023" s="29">
        <f>IF(OR(C1023="",$B$18=""),"",C1023*60/$B$18)</f>
        <v/>
      </c>
    </row>
    <row r="1024">
      <c r="A1024" s="26" t="n"/>
      <c r="B1024" s="44" t="n"/>
      <c r="C1024" s="45">
        <f>IF(B1024="","",$B$15*(B1024-$B$14))</f>
        <v/>
      </c>
      <c r="D1024" s="46">
        <f>IF(OR(A1024="",C1024="",D1023="",C1023=""),"",D1023+(C1023+C1024)/2*(A1024-A1023)*60)</f>
        <v/>
      </c>
      <c r="E1024" s="20">
        <f>IF(OR(D1024="",$B$18=""),"",D1024/$B$18)</f>
        <v/>
      </c>
      <c r="F1024" s="29">
        <f>IF(OR(C1024="",$B$18=""),"",C1024*60/$B$18)</f>
        <v/>
      </c>
    </row>
    <row r="1025">
      <c r="A1025" s="26" t="n"/>
      <c r="B1025" s="44" t="n"/>
      <c r="C1025" s="45">
        <f>IF(B1025="","",$B$15*(B1025-$B$14))</f>
        <v/>
      </c>
      <c r="D1025" s="46">
        <f>IF(OR(A1025="",C1025="",D1024="",C1024=""),"",D1024+(C1024+C1025)/2*(A1025-A1024)*60)</f>
        <v/>
      </c>
      <c r="E1025" s="20">
        <f>IF(OR(D1025="",$B$18=""),"",D1025/$B$18)</f>
        <v/>
      </c>
      <c r="F1025" s="29">
        <f>IF(OR(C1025="",$B$18=""),"",C1025*60/$B$18)</f>
        <v/>
      </c>
    </row>
    <row r="1026">
      <c r="A1026" s="26" t="n"/>
      <c r="B1026" s="44" t="n"/>
      <c r="C1026" s="45">
        <f>IF(B1026="","",$B$15*(B1026-$B$14))</f>
        <v/>
      </c>
      <c r="D1026" s="46">
        <f>IF(OR(A1026="",C1026="",D1025="",C1025=""),"",D1025+(C1025+C1026)/2*(A1026-A1025)*60)</f>
        <v/>
      </c>
      <c r="E1026" s="20">
        <f>IF(OR(D1026="",$B$18=""),"",D1026/$B$18)</f>
        <v/>
      </c>
      <c r="F1026" s="29">
        <f>IF(OR(C1026="",$B$18=""),"",C1026*60/$B$18)</f>
        <v/>
      </c>
    </row>
  </sheetData>
  <mergeCells count="1">
    <mergeCell ref="B23:F23"/>
  </mergeCells>
  <conditionalFormatting sqref="B23">
    <cfRule type="expression" priority="1" dxfId="0">
      <formula>LEFT($B$23,8)="Reaction"</formula>
    </cfRule>
  </conditionalFormatting>
  <dataValidations count="2">
    <dataValidation sqref="B7" showDropDown="0" showInputMessage="0" showErrorMessage="1" allowBlank="0" type="list">
      <formula1>"Exo up,Exo down"</formula1>
    </dataValidation>
    <dataValidation sqref="B10" showDropDown="0" showInputMessage="0" showErrorMessage="1" allowBlank="0" type="list">
      <formula1>"Isothermal + residual,Measured reference,Theoretical (formulation)"</formula1>
    </dataValidation>
  </dataValidations>
  <hyperlinks>
    <hyperlink ref="J2" location="'Guide'!A1" display="↩ Back to the Guide"/>
    <hyperlink ref="J18" location="'Sample_Prep'!A51" display="▸ Full preparation protocol for this sheet (Sample_Prep)"/>
  </hyperlink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4" customWidth="1" min="10" max="10"/>
    <col width="13" customWidth="1" min="11" max="11"/>
    <col width="26" customWidth="1" min="12" max="12"/>
    <col width="30" customWidth="1" min="13" max="13"/>
  </cols>
  <sheetData>
    <row r="1">
      <c r="A1" s="1" t="inlineStr">
        <is>
          <t>FTIR — NCO band (~2270 cm⁻¹) normalised to an internal reference</t>
        </is>
      </c>
      <c r="O1" s="16" t="inlineStr">
        <is>
          <t>HOW TO USE — FTIR</t>
        </is>
      </c>
    </row>
    <row r="2">
      <c r="A2" s="2" t="inlineStr">
        <is>
          <t>α = 1 − R/R0, R = A_NCO/A_ref.  Row 11 must be the t = 0 spectrum.     ▸ How to use this sheet: column O</t>
        </is>
      </c>
      <c r="O2" s="4" t="inlineStr">
        <is>
          <t>↩ Back to the Guide</t>
        </is>
      </c>
    </row>
    <row r="3">
      <c r="O3" s="22" t="inlineStr">
        <is>
          <t>Measure</t>
        </is>
      </c>
    </row>
    <row r="4">
      <c r="A4" s="23" t="inlineStr">
        <is>
          <t>NCO band / integration limits</t>
        </is>
      </c>
      <c r="B4" s="17" t="inlineStr">
        <is>
          <t>2270 cm⁻¹ (integrate 2230–2300)</t>
        </is>
      </c>
      <c r="O4" s="5" t="inlineStr">
        <is>
          <t>1  Record the freshly mixed material first. It goes in row 11 and defines R0.</t>
        </is>
      </c>
    </row>
    <row r="5">
      <c r="A5" s="23" t="inlineStr">
        <is>
          <t>Reference band</t>
        </is>
      </c>
      <c r="B5" s="17" t="inlineStr">
        <is>
          <t>2870–2970 cm⁻¹ C–H stretch</t>
        </is>
      </c>
      <c r="O5" s="5" t="inlineStr">
        <is>
          <t>2  Keep sampling identical at every time point: crystal, pressure, number of scans, resolution.</t>
        </is>
      </c>
    </row>
    <row r="6">
      <c r="A6" s="23" t="inlineStr">
        <is>
          <t>Sampling mode</t>
        </is>
      </c>
      <c r="B6" s="17" t="inlineStr">
        <is>
          <t>ATR, diamond</t>
        </is>
      </c>
      <c r="O6" s="22" t="inlineStr">
        <is>
          <t>Integrate</t>
        </is>
      </c>
    </row>
    <row r="7">
      <c r="A7" s="23" t="inlineStr">
        <is>
          <t>Reference-band drift tolerance</t>
        </is>
      </c>
      <c r="B7" s="48" t="n">
        <v>0.1</v>
      </c>
      <c r="C7" s="2" t="inlineStr">
        <is>
          <t>Flags a sample whose A_ref differs from t = 0 by more than this (contact/thickness change)</t>
        </is>
      </c>
      <c r="O7" s="5" t="inlineStr">
        <is>
          <t>3  A_NCO (column D): NCO band, ~2230–2300 cm⁻¹, with a local linear baseline.</t>
        </is>
      </c>
    </row>
    <row r="8">
      <c r="O8" s="5" t="inlineStr">
        <is>
          <t>4  A_ref (column E): a band that does not change on cure — C–H 2850–2990 cm⁻¹, or ~1595 cm⁻¹</t>
        </is>
      </c>
    </row>
    <row r="9">
      <c r="O9" s="2" t="inlineStr">
        <is>
          <t xml:space="preserve">     aromatic C=C for MDI/TDI. Never C=O (~1700) or N–H (~3300): both grow as urethane forms.</t>
        </is>
      </c>
    </row>
    <row r="10" ht="45" customHeight="1">
      <c r="A10" s="11" t="inlineStr">
        <is>
          <t>Sample ID</t>
        </is>
      </c>
      <c r="B10" s="11" t="inlineStr">
        <is>
          <t>Cure temp (°C)</t>
        </is>
      </c>
      <c r="C10" s="11" t="inlineStr">
        <is>
          <t>Cure time (h)</t>
        </is>
      </c>
      <c r="D10" s="11" t="inlineStr">
        <is>
          <t>A_NCO (area)</t>
        </is>
      </c>
      <c r="E10" s="11" t="inlineStr">
        <is>
          <t>A_ref (area)</t>
        </is>
      </c>
      <c r="F10" s="11" t="inlineStr">
        <is>
          <t>R = A_NCO/A_ref</t>
        </is>
      </c>
      <c r="G10" s="11" t="inlineStr">
        <is>
          <t>R / R0</t>
        </is>
      </c>
      <c r="H10" s="11" t="inlineStr">
        <is>
          <t>α — NCO conversion</t>
        </is>
      </c>
      <c r="I10" s="11" t="inlineStr">
        <is>
          <t>OH conversion (= r·α)</t>
        </is>
      </c>
      <c r="J10" s="11" t="inlineStr">
        <is>
          <t>Residual NCO (wt %)</t>
        </is>
      </c>
      <c r="K10" s="11" t="inlineStr">
        <is>
          <t>A_ref drift vs t = 0</t>
        </is>
      </c>
      <c r="L10" s="11" t="inlineStr">
        <is>
          <t>Flag</t>
        </is>
      </c>
      <c r="M10" s="11" t="inlineStr">
        <is>
          <t>Notes</t>
        </is>
      </c>
      <c r="O10" s="22" t="inlineStr">
        <is>
          <t>Read</t>
        </is>
      </c>
    </row>
    <row r="11">
      <c r="A11" s="17" t="inlineStr">
        <is>
          <t>S0</t>
        </is>
      </c>
      <c r="B11" s="27" t="n">
        <v>60</v>
      </c>
      <c r="C11" s="26" t="n">
        <v>0</v>
      </c>
      <c r="D11" s="28" t="n">
        <v>12.5</v>
      </c>
      <c r="E11" s="28" t="n">
        <v>8.199999999999999</v>
      </c>
      <c r="F11" s="32">
        <f>IF(OR(D11="",E11=""),"",D11/E11)</f>
        <v/>
      </c>
      <c r="G11" s="32">
        <f>IF(F11="","",F11/$F$11)</f>
        <v/>
      </c>
      <c r="H11" s="20">
        <f>IF(G11="","",1-G11)</f>
        <v/>
      </c>
      <c r="I11" s="19">
        <f>IF(H11="","",H11*Formulation!$B$17)</f>
        <v/>
      </c>
      <c r="J11" s="42">
        <f>IF(H11="","",100*Formulation!$B$21*(1-H11))</f>
        <v/>
      </c>
      <c r="K11" s="43">
        <f>IF(E11="","",E11/$E$11-1)</f>
        <v/>
      </c>
      <c r="L11" s="21">
        <f>IF(K11="","",IF(ABS(K11)&gt;$B$7,"Check ref band / contact","OK"))</f>
        <v/>
      </c>
      <c r="M11" s="17" t="n"/>
      <c r="O11" s="5" t="inlineStr">
        <is>
          <t>5  Column H = NCO conversion; I = OH conversion (r·α); J = residual NCO in wt %.</t>
        </is>
      </c>
    </row>
    <row r="12">
      <c r="A12" s="17" t="inlineStr">
        <is>
          <t>S1</t>
        </is>
      </c>
      <c r="B12" s="27" t="n">
        <v>60</v>
      </c>
      <c r="C12" s="26" t="n">
        <v>2</v>
      </c>
      <c r="D12" s="28" t="n">
        <v>6.83</v>
      </c>
      <c r="E12" s="28" t="n">
        <v>8.15</v>
      </c>
      <c r="F12" s="32">
        <f>IF(OR(D12="",E12=""),"",D12/E12)</f>
        <v/>
      </c>
      <c r="G12" s="32">
        <f>IF(F12="","",F12/$F$11)</f>
        <v/>
      </c>
      <c r="H12" s="20">
        <f>IF(G12="","",1-G12)</f>
        <v/>
      </c>
      <c r="I12" s="19">
        <f>IF(H12="","",H12*Formulation!$B$17)</f>
        <v/>
      </c>
      <c r="J12" s="42">
        <f>IF(H12="","",100*Formulation!$B$21*(1-H12))</f>
        <v/>
      </c>
      <c r="K12" s="43">
        <f>IF(E12="","",E12/$E$11-1)</f>
        <v/>
      </c>
      <c r="L12" s="21">
        <f>IF(K12="","",IF(ABS(K12)&gt;$B$7,"Check ref band / contact","OK"))</f>
        <v/>
      </c>
      <c r="M12" s="17" t="n"/>
      <c r="O12" s="5" t="inlineStr">
        <is>
          <t>6  Column L flags a reference band that moved more than B7 (10 %) — re-seat the sample and re-measure.</t>
        </is>
      </c>
    </row>
    <row r="13">
      <c r="A13" s="17" t="inlineStr">
        <is>
          <t>S2</t>
        </is>
      </c>
      <c r="B13" s="27" t="n">
        <v>60</v>
      </c>
      <c r="C13" s="26" t="n">
        <v>8</v>
      </c>
      <c r="D13" s="28" t="n">
        <v>3.14</v>
      </c>
      <c r="E13" s="28" t="n">
        <v>8.25</v>
      </c>
      <c r="F13" s="32">
        <f>IF(OR(D13="",E13=""),"",D13/E13)</f>
        <v/>
      </c>
      <c r="G13" s="32">
        <f>IF(F13="","",F13/$F$11)</f>
        <v/>
      </c>
      <c r="H13" s="20">
        <f>IF(G13="","",1-G13)</f>
        <v/>
      </c>
      <c r="I13" s="19">
        <f>IF(H13="","",H13*Formulation!$B$17)</f>
        <v/>
      </c>
      <c r="J13" s="42">
        <f>IF(H13="","",100*Formulation!$B$21*(1-H13))</f>
        <v/>
      </c>
      <c r="K13" s="43">
        <f>IF(E13="","",E13/$E$11-1)</f>
        <v/>
      </c>
      <c r="L13" s="21">
        <f>IF(K13="","",IF(ABS(K13)&gt;$B$7,"Check ref band / contact","OK"))</f>
        <v/>
      </c>
      <c r="M13" s="17" t="n"/>
      <c r="O13" s="5" t="inlineStr">
        <is>
          <t>7  OH conversion above 100 % (red): NCO consumed by side reactions such as moisture → urea.</t>
        </is>
      </c>
    </row>
    <row r="14">
      <c r="A14" s="17" t="inlineStr">
        <is>
          <t>S3</t>
        </is>
      </c>
      <c r="B14" s="27" t="n">
        <v>60</v>
      </c>
      <c r="C14" s="26" t="n">
        <v>24</v>
      </c>
      <c r="D14" s="28" t="n">
        <v>1.25</v>
      </c>
      <c r="E14" s="28" t="n">
        <v>8.18</v>
      </c>
      <c r="F14" s="32">
        <f>IF(OR(D14="",E14=""),"",D14/E14)</f>
        <v/>
      </c>
      <c r="G14" s="32">
        <f>IF(F14="","",F14/$F$11)</f>
        <v/>
      </c>
      <c r="H14" s="20">
        <f>IF(G14="","",1-G14)</f>
        <v/>
      </c>
      <c r="I14" s="19">
        <f>IF(H14="","",H14*Formulation!$B$17)</f>
        <v/>
      </c>
      <c r="J14" s="42">
        <f>IF(H14="","",100*Formulation!$B$21*(1-H14))</f>
        <v/>
      </c>
      <c r="K14" s="43">
        <f>IF(E14="","",E14/$E$11-1)</f>
        <v/>
      </c>
      <c r="L14" s="21">
        <f>IF(K14="","",IF(ABS(K14)&gt;$B$7,"Check ref band / contact","OK"))</f>
        <v/>
      </c>
      <c r="M14" s="17" t="n"/>
      <c r="O14" s="22" t="inlineStr">
        <is>
          <t>Specimens</t>
        </is>
      </c>
    </row>
    <row r="15">
      <c r="A15" s="17" t="inlineStr">
        <is>
          <t>S4</t>
        </is>
      </c>
      <c r="B15" s="27" t="n">
        <v>60</v>
      </c>
      <c r="C15" s="26" t="n">
        <v>72</v>
      </c>
      <c r="D15" s="28" t="n">
        <v>0.38</v>
      </c>
      <c r="E15" s="28" t="n">
        <v>8.220000000000001</v>
      </c>
      <c r="F15" s="32">
        <f>IF(OR(D15="",E15=""),"",D15/E15)</f>
        <v/>
      </c>
      <c r="G15" s="32">
        <f>IF(F15="","",F15/$F$11)</f>
        <v/>
      </c>
      <c r="H15" s="20">
        <f>IF(G15="","",1-G15)</f>
        <v/>
      </c>
      <c r="I15" s="19">
        <f>IF(H15="","",H15*Formulation!$B$17)</f>
        <v/>
      </c>
      <c r="J15" s="42">
        <f>IF(H15="","",100*Formulation!$B$21*(1-H15))</f>
        <v/>
      </c>
      <c r="K15" s="43">
        <f>IF(E15="","",E15/$E$11-1)</f>
        <v/>
      </c>
      <c r="L15" s="21">
        <f>IF(K15="","",IF(ABS(K15)&gt;$B$7,"Check ref band / contact","OK"))</f>
        <v/>
      </c>
      <c r="M15" s="17" t="n"/>
      <c r="O15" s="5" t="inlineStr">
        <is>
          <t>Thin films cast from the same batch on PTFE; measure the liner side with the same pressure and settings.</t>
        </is>
      </c>
    </row>
    <row r="16">
      <c r="A16" s="17" t="n"/>
      <c r="B16" s="27" t="n"/>
      <c r="C16" s="26" t="n"/>
      <c r="D16" s="28" t="n"/>
      <c r="E16" s="28" t="n"/>
      <c r="F16" s="32">
        <f>IF(OR(D16="",E16=""),"",D16/E16)</f>
        <v/>
      </c>
      <c r="G16" s="32">
        <f>IF(F16="","",F16/$F$11)</f>
        <v/>
      </c>
      <c r="H16" s="20">
        <f>IF(G16="","",1-G16)</f>
        <v/>
      </c>
      <c r="I16" s="19">
        <f>IF(H16="","",H16*Formulation!$B$17)</f>
        <v/>
      </c>
      <c r="J16" s="42">
        <f>IF(H16="","",100*Formulation!$B$21*(1-H16))</f>
        <v/>
      </c>
      <c r="K16" s="43">
        <f>IF(E16="","",E16/$E$11-1)</f>
        <v/>
      </c>
      <c r="L16" s="21">
        <f>IF(K16="","",IF(ABS(K16)&gt;$B$7,"Check ref band / contact","OK"))</f>
        <v/>
      </c>
      <c r="M16" s="17" t="n"/>
      <c r="O16" s="4" t="inlineStr">
        <is>
          <t>▸ Full preparation protocol for this sheet (Sample_Prep)</t>
        </is>
      </c>
    </row>
    <row r="17">
      <c r="A17" s="17" t="n"/>
      <c r="B17" s="27" t="n"/>
      <c r="C17" s="26" t="n"/>
      <c r="D17" s="28" t="n"/>
      <c r="E17" s="28" t="n"/>
      <c r="F17" s="32">
        <f>IF(OR(D17="",E17=""),"",D17/E17)</f>
        <v/>
      </c>
      <c r="G17" s="32">
        <f>IF(F17="","",F17/$F$11)</f>
        <v/>
      </c>
      <c r="H17" s="20">
        <f>IF(G17="","",1-G17)</f>
        <v/>
      </c>
      <c r="I17" s="19">
        <f>IF(H17="","",H17*Formulation!$B$17)</f>
        <v/>
      </c>
      <c r="J17" s="42">
        <f>IF(H17="","",100*Formulation!$B$21*(1-H17))</f>
        <v/>
      </c>
      <c r="K17" s="43">
        <f>IF(E17="","",E17/$E$11-1)</f>
        <v/>
      </c>
      <c r="L17" s="21">
        <f>IF(K17="","",IF(ABS(K17)&gt;$B$7,"Check ref band / contact","OK"))</f>
        <v/>
      </c>
      <c r="M17" s="17" t="n"/>
    </row>
    <row r="18">
      <c r="A18" s="17" t="n"/>
      <c r="B18" s="27" t="n"/>
      <c r="C18" s="26" t="n"/>
      <c r="D18" s="28" t="n"/>
      <c r="E18" s="28" t="n"/>
      <c r="F18" s="32">
        <f>IF(OR(D18="",E18=""),"",D18/E18)</f>
        <v/>
      </c>
      <c r="G18" s="32">
        <f>IF(F18="","",F18/$F$11)</f>
        <v/>
      </c>
      <c r="H18" s="20">
        <f>IF(G18="","",1-G18)</f>
        <v/>
      </c>
      <c r="I18" s="19">
        <f>IF(H18="","",H18*Formulation!$B$17)</f>
        <v/>
      </c>
      <c r="J18" s="42">
        <f>IF(H18="","",100*Formulation!$B$21*(1-H18))</f>
        <v/>
      </c>
      <c r="K18" s="43">
        <f>IF(E18="","",E18/$E$11-1)</f>
        <v/>
      </c>
      <c r="L18" s="21">
        <f>IF(K18="","",IF(ABS(K18)&gt;$B$7,"Check ref band / contact","OK"))</f>
        <v/>
      </c>
      <c r="M18" s="17" t="n"/>
      <c r="O18" s="22" t="inlineStr">
        <is>
          <t>Figure — integration windows. The NCO band shrinks with cure; the reference band must not change.</t>
        </is>
      </c>
    </row>
    <row r="19">
      <c r="A19" s="17" t="n"/>
      <c r="B19" s="27" t="n"/>
      <c r="C19" s="26" t="n"/>
      <c r="D19" s="28" t="n"/>
      <c r="E19" s="28" t="n"/>
      <c r="F19" s="32">
        <f>IF(OR(D19="",E19=""),"",D19/E19)</f>
        <v/>
      </c>
      <c r="G19" s="32">
        <f>IF(F19="","",F19/$F$11)</f>
        <v/>
      </c>
      <c r="H19" s="20">
        <f>IF(G19="","",1-G19)</f>
        <v/>
      </c>
      <c r="I19" s="19">
        <f>IF(H19="","",H19*Formulation!$B$17)</f>
        <v/>
      </c>
      <c r="J19" s="42">
        <f>IF(H19="","",100*Formulation!$B$21*(1-H19))</f>
        <v/>
      </c>
      <c r="K19" s="43">
        <f>IF(E19="","",E19/$E$11-1)</f>
        <v/>
      </c>
      <c r="L19" s="21">
        <f>IF(K19="","",IF(ABS(K19)&gt;$B$7,"Check ref band / contact","OK"))</f>
        <v/>
      </c>
      <c r="M19" s="17" t="n"/>
    </row>
    <row r="20">
      <c r="A20" s="17" t="n"/>
      <c r="B20" s="27" t="n"/>
      <c r="C20" s="26" t="n"/>
      <c r="D20" s="28" t="n"/>
      <c r="E20" s="28" t="n"/>
      <c r="F20" s="32">
        <f>IF(OR(D20="",E20=""),"",D20/E20)</f>
        <v/>
      </c>
      <c r="G20" s="32">
        <f>IF(F20="","",F20/$F$11)</f>
        <v/>
      </c>
      <c r="H20" s="20">
        <f>IF(G20="","",1-G20)</f>
        <v/>
      </c>
      <c r="I20" s="19">
        <f>IF(H20="","",H20*Formulation!$B$17)</f>
        <v/>
      </c>
      <c r="J20" s="42">
        <f>IF(H20="","",100*Formulation!$B$21*(1-H20))</f>
        <v/>
      </c>
      <c r="K20" s="43">
        <f>IF(E20="","",E20/$E$11-1)</f>
        <v/>
      </c>
      <c r="L20" s="21">
        <f>IF(K20="","",IF(ABS(K20)&gt;$B$7,"Check ref band / contact","OK"))</f>
        <v/>
      </c>
      <c r="M20" s="17" t="n"/>
    </row>
    <row r="21">
      <c r="A21" s="17" t="n"/>
      <c r="B21" s="27" t="n"/>
      <c r="C21" s="26" t="n"/>
      <c r="D21" s="28" t="n"/>
      <c r="E21" s="28" t="n"/>
      <c r="F21" s="32">
        <f>IF(OR(D21="",E21=""),"",D21/E21)</f>
        <v/>
      </c>
      <c r="G21" s="32">
        <f>IF(F21="","",F21/$F$11)</f>
        <v/>
      </c>
      <c r="H21" s="20">
        <f>IF(G21="","",1-G21)</f>
        <v/>
      </c>
      <c r="I21" s="19">
        <f>IF(H21="","",H21*Formulation!$B$17)</f>
        <v/>
      </c>
      <c r="J21" s="42">
        <f>IF(H21="","",100*Formulation!$B$21*(1-H21))</f>
        <v/>
      </c>
      <c r="K21" s="43">
        <f>IF(E21="","",E21/$E$11-1)</f>
        <v/>
      </c>
      <c r="L21" s="21">
        <f>IF(K21="","",IF(ABS(K21)&gt;$B$7,"Check ref band / contact","OK"))</f>
        <v/>
      </c>
      <c r="M21" s="17" t="n"/>
    </row>
    <row r="22">
      <c r="A22" s="17" t="n"/>
      <c r="B22" s="27" t="n"/>
      <c r="C22" s="26" t="n"/>
      <c r="D22" s="28" t="n"/>
      <c r="E22" s="28" t="n"/>
      <c r="F22" s="32">
        <f>IF(OR(D22="",E22=""),"",D22/E22)</f>
        <v/>
      </c>
      <c r="G22" s="32">
        <f>IF(F22="","",F22/$F$11)</f>
        <v/>
      </c>
      <c r="H22" s="20">
        <f>IF(G22="","",1-G22)</f>
        <v/>
      </c>
      <c r="I22" s="19">
        <f>IF(H22="","",H22*Formulation!$B$17)</f>
        <v/>
      </c>
      <c r="J22" s="42">
        <f>IF(H22="","",100*Formulation!$B$21*(1-H22))</f>
        <v/>
      </c>
      <c r="K22" s="43">
        <f>IF(E22="","",E22/$E$11-1)</f>
        <v/>
      </c>
      <c r="L22" s="21">
        <f>IF(K22="","",IF(ABS(K22)&gt;$B$7,"Check ref band / contact","OK"))</f>
        <v/>
      </c>
      <c r="M22" s="17" t="n"/>
    </row>
    <row r="23">
      <c r="A23" s="17" t="n"/>
      <c r="B23" s="27" t="n"/>
      <c r="C23" s="26" t="n"/>
      <c r="D23" s="28" t="n"/>
      <c r="E23" s="28" t="n"/>
      <c r="F23" s="32">
        <f>IF(OR(D23="",E23=""),"",D23/E23)</f>
        <v/>
      </c>
      <c r="G23" s="32">
        <f>IF(F23="","",F23/$F$11)</f>
        <v/>
      </c>
      <c r="H23" s="20">
        <f>IF(G23="","",1-G23)</f>
        <v/>
      </c>
      <c r="I23" s="19">
        <f>IF(H23="","",H23*Formulation!$B$17)</f>
        <v/>
      </c>
      <c r="J23" s="42">
        <f>IF(H23="","",100*Formulation!$B$21*(1-H23))</f>
        <v/>
      </c>
      <c r="K23" s="43">
        <f>IF(E23="","",E23/$E$11-1)</f>
        <v/>
      </c>
      <c r="L23" s="21">
        <f>IF(K23="","",IF(ABS(K23)&gt;$B$7,"Check ref band / contact","OK"))</f>
        <v/>
      </c>
      <c r="M23" s="17" t="n"/>
    </row>
    <row r="24">
      <c r="A24" s="17" t="n"/>
      <c r="B24" s="27" t="n"/>
      <c r="C24" s="26" t="n"/>
      <c r="D24" s="28" t="n"/>
      <c r="E24" s="28" t="n"/>
      <c r="F24" s="32">
        <f>IF(OR(D24="",E24=""),"",D24/E24)</f>
        <v/>
      </c>
      <c r="G24" s="32">
        <f>IF(F24="","",F24/$F$11)</f>
        <v/>
      </c>
      <c r="H24" s="20">
        <f>IF(G24="","",1-G24)</f>
        <v/>
      </c>
      <c r="I24" s="19">
        <f>IF(H24="","",H24*Formulation!$B$17)</f>
        <v/>
      </c>
      <c r="J24" s="42">
        <f>IF(H24="","",100*Formulation!$B$21*(1-H24))</f>
        <v/>
      </c>
      <c r="K24" s="43">
        <f>IF(E24="","",E24/$E$11-1)</f>
        <v/>
      </c>
      <c r="L24" s="21">
        <f>IF(K24="","",IF(ABS(K24)&gt;$B$7,"Check ref band / contact","OK"))</f>
        <v/>
      </c>
      <c r="M24" s="17" t="n"/>
    </row>
    <row r="25">
      <c r="A25" s="17" t="n"/>
      <c r="B25" s="27" t="n"/>
      <c r="C25" s="26" t="n"/>
      <c r="D25" s="28" t="n"/>
      <c r="E25" s="28" t="n"/>
      <c r="F25" s="32">
        <f>IF(OR(D25="",E25=""),"",D25/E25)</f>
        <v/>
      </c>
      <c r="G25" s="32">
        <f>IF(F25="","",F25/$F$11)</f>
        <v/>
      </c>
      <c r="H25" s="20">
        <f>IF(G25="","",1-G25)</f>
        <v/>
      </c>
      <c r="I25" s="19">
        <f>IF(H25="","",H25*Formulation!$B$17)</f>
        <v/>
      </c>
      <c r="J25" s="42">
        <f>IF(H25="","",100*Formulation!$B$21*(1-H25))</f>
        <v/>
      </c>
      <c r="K25" s="43">
        <f>IF(E25="","",E25/$E$11-1)</f>
        <v/>
      </c>
      <c r="L25" s="21">
        <f>IF(K25="","",IF(ABS(K25)&gt;$B$7,"Check ref band / contact","OK"))</f>
        <v/>
      </c>
      <c r="M25" s="17" t="n"/>
    </row>
    <row r="26">
      <c r="A26" s="17" t="n"/>
      <c r="B26" s="27" t="n"/>
      <c r="C26" s="26" t="n"/>
      <c r="D26" s="28" t="n"/>
      <c r="E26" s="28" t="n"/>
      <c r="F26" s="32">
        <f>IF(OR(D26="",E26=""),"",D26/E26)</f>
        <v/>
      </c>
      <c r="G26" s="32">
        <f>IF(F26="","",F26/$F$11)</f>
        <v/>
      </c>
      <c r="H26" s="20">
        <f>IF(G26="","",1-G26)</f>
        <v/>
      </c>
      <c r="I26" s="19">
        <f>IF(H26="","",H26*Formulation!$B$17)</f>
        <v/>
      </c>
      <c r="J26" s="42">
        <f>IF(H26="","",100*Formulation!$B$21*(1-H26))</f>
        <v/>
      </c>
      <c r="K26" s="43">
        <f>IF(E26="","",E26/$E$11-1)</f>
        <v/>
      </c>
      <c r="L26" s="21">
        <f>IF(K26="","",IF(ABS(K26)&gt;$B$7,"Check ref band / contact","OK"))</f>
        <v/>
      </c>
      <c r="M26" s="17" t="n"/>
    </row>
    <row r="27">
      <c r="A27" s="17" t="n"/>
      <c r="B27" s="27" t="n"/>
      <c r="C27" s="26" t="n"/>
      <c r="D27" s="28" t="n"/>
      <c r="E27" s="28" t="n"/>
      <c r="F27" s="32">
        <f>IF(OR(D27="",E27=""),"",D27/E27)</f>
        <v/>
      </c>
      <c r="G27" s="32">
        <f>IF(F27="","",F27/$F$11)</f>
        <v/>
      </c>
      <c r="H27" s="20">
        <f>IF(G27="","",1-G27)</f>
        <v/>
      </c>
      <c r="I27" s="19">
        <f>IF(H27="","",H27*Formulation!$B$17)</f>
        <v/>
      </c>
      <c r="J27" s="42">
        <f>IF(H27="","",100*Formulation!$B$21*(1-H27))</f>
        <v/>
      </c>
      <c r="K27" s="43">
        <f>IF(E27="","",E27/$E$11-1)</f>
        <v/>
      </c>
      <c r="L27" s="21">
        <f>IF(K27="","",IF(ABS(K27)&gt;$B$7,"Check ref band / contact","OK"))</f>
        <v/>
      </c>
      <c r="M27" s="17" t="n"/>
    </row>
    <row r="28">
      <c r="A28" s="17" t="n"/>
      <c r="B28" s="27" t="n"/>
      <c r="C28" s="26" t="n"/>
      <c r="D28" s="28" t="n"/>
      <c r="E28" s="28" t="n"/>
      <c r="F28" s="32">
        <f>IF(OR(D28="",E28=""),"",D28/E28)</f>
        <v/>
      </c>
      <c r="G28" s="32">
        <f>IF(F28="","",F28/$F$11)</f>
        <v/>
      </c>
      <c r="H28" s="20">
        <f>IF(G28="","",1-G28)</f>
        <v/>
      </c>
      <c r="I28" s="19">
        <f>IF(H28="","",H28*Formulation!$B$17)</f>
        <v/>
      </c>
      <c r="J28" s="42">
        <f>IF(H28="","",100*Formulation!$B$21*(1-H28))</f>
        <v/>
      </c>
      <c r="K28" s="43">
        <f>IF(E28="","",E28/$E$11-1)</f>
        <v/>
      </c>
      <c r="L28" s="21">
        <f>IF(K28="","",IF(ABS(K28)&gt;$B$7,"Check ref band / contact","OK"))</f>
        <v/>
      </c>
      <c r="M28" s="17" t="n"/>
    </row>
    <row r="29">
      <c r="A29" s="17" t="n"/>
      <c r="B29" s="27" t="n"/>
      <c r="C29" s="26" t="n"/>
      <c r="D29" s="28" t="n"/>
      <c r="E29" s="28" t="n"/>
      <c r="F29" s="32">
        <f>IF(OR(D29="",E29=""),"",D29/E29)</f>
        <v/>
      </c>
      <c r="G29" s="32">
        <f>IF(F29="","",F29/$F$11)</f>
        <v/>
      </c>
      <c r="H29" s="20">
        <f>IF(G29="","",1-G29)</f>
        <v/>
      </c>
      <c r="I29" s="19">
        <f>IF(H29="","",H29*Formulation!$B$17)</f>
        <v/>
      </c>
      <c r="J29" s="42">
        <f>IF(H29="","",100*Formulation!$B$21*(1-H29))</f>
        <v/>
      </c>
      <c r="K29" s="43">
        <f>IF(E29="","",E29/$E$11-1)</f>
        <v/>
      </c>
      <c r="L29" s="21">
        <f>IF(K29="","",IF(ABS(K29)&gt;$B$7,"Check ref band / contact","OK"))</f>
        <v/>
      </c>
      <c r="M29" s="17" t="n"/>
    </row>
    <row r="30">
      <c r="A30" s="17" t="n"/>
      <c r="B30" s="27" t="n"/>
      <c r="C30" s="26" t="n"/>
      <c r="D30" s="28" t="n"/>
      <c r="E30" s="28" t="n"/>
      <c r="F30" s="32">
        <f>IF(OR(D30="",E30=""),"",D30/E30)</f>
        <v/>
      </c>
      <c r="G30" s="32">
        <f>IF(F30="","",F30/$F$11)</f>
        <v/>
      </c>
      <c r="H30" s="20">
        <f>IF(G30="","",1-G30)</f>
        <v/>
      </c>
      <c r="I30" s="19">
        <f>IF(H30="","",H30*Formulation!$B$17)</f>
        <v/>
      </c>
      <c r="J30" s="42">
        <f>IF(H30="","",100*Formulation!$B$21*(1-H30))</f>
        <v/>
      </c>
      <c r="K30" s="43">
        <f>IF(E30="","",E30/$E$11-1)</f>
        <v/>
      </c>
      <c r="L30" s="21">
        <f>IF(K30="","",IF(ABS(K30)&gt;$B$7,"Check ref band / contact","OK"))</f>
        <v/>
      </c>
      <c r="M30" s="17" t="n"/>
    </row>
    <row r="31">
      <c r="A31" s="17" t="n"/>
      <c r="B31" s="27" t="n"/>
      <c r="C31" s="26" t="n"/>
      <c r="D31" s="28" t="n"/>
      <c r="E31" s="28" t="n"/>
      <c r="F31" s="32">
        <f>IF(OR(D31="",E31=""),"",D31/E31)</f>
        <v/>
      </c>
      <c r="G31" s="32">
        <f>IF(F31="","",F31/$F$11)</f>
        <v/>
      </c>
      <c r="H31" s="20">
        <f>IF(G31="","",1-G31)</f>
        <v/>
      </c>
      <c r="I31" s="19">
        <f>IF(H31="","",H31*Formulation!$B$17)</f>
        <v/>
      </c>
      <c r="J31" s="42">
        <f>IF(H31="","",100*Formulation!$B$21*(1-H31))</f>
        <v/>
      </c>
      <c r="K31" s="43">
        <f>IF(E31="","",E31/$E$11-1)</f>
        <v/>
      </c>
      <c r="L31" s="21">
        <f>IF(K31="","",IF(ABS(K31)&gt;$B$7,"Check ref band / contact","OK"))</f>
        <v/>
      </c>
      <c r="M31" s="17" t="n"/>
    </row>
    <row r="32">
      <c r="A32" s="17" t="n"/>
      <c r="B32" s="27" t="n"/>
      <c r="C32" s="26" t="n"/>
      <c r="D32" s="28" t="n"/>
      <c r="E32" s="28" t="n"/>
      <c r="F32" s="32">
        <f>IF(OR(D32="",E32=""),"",D32/E32)</f>
        <v/>
      </c>
      <c r="G32" s="32">
        <f>IF(F32="","",F32/$F$11)</f>
        <v/>
      </c>
      <c r="H32" s="20">
        <f>IF(G32="","",1-G32)</f>
        <v/>
      </c>
      <c r="I32" s="19">
        <f>IF(H32="","",H32*Formulation!$B$17)</f>
        <v/>
      </c>
      <c r="J32" s="42">
        <f>IF(H32="","",100*Formulation!$B$21*(1-H32))</f>
        <v/>
      </c>
      <c r="K32" s="43">
        <f>IF(E32="","",E32/$E$11-1)</f>
        <v/>
      </c>
      <c r="L32" s="21">
        <f>IF(K32="","",IF(ABS(K32)&gt;$B$7,"Check ref band / contact","OK"))</f>
        <v/>
      </c>
      <c r="M32" s="17" t="n"/>
    </row>
    <row r="33">
      <c r="A33" s="17" t="n"/>
      <c r="B33" s="27" t="n"/>
      <c r="C33" s="26" t="n"/>
      <c r="D33" s="28" t="n"/>
      <c r="E33" s="28" t="n"/>
      <c r="F33" s="32">
        <f>IF(OR(D33="",E33=""),"",D33/E33)</f>
        <v/>
      </c>
      <c r="G33" s="32">
        <f>IF(F33="","",F33/$F$11)</f>
        <v/>
      </c>
      <c r="H33" s="20">
        <f>IF(G33="","",1-G33)</f>
        <v/>
      </c>
      <c r="I33" s="19">
        <f>IF(H33="","",H33*Formulation!$B$17)</f>
        <v/>
      </c>
      <c r="J33" s="42">
        <f>IF(H33="","",100*Formulation!$B$21*(1-H33))</f>
        <v/>
      </c>
      <c r="K33" s="43">
        <f>IF(E33="","",E33/$E$11-1)</f>
        <v/>
      </c>
      <c r="L33" s="21">
        <f>IF(K33="","",IF(ABS(K33)&gt;$B$7,"Check ref band / contact","OK"))</f>
        <v/>
      </c>
      <c r="M33" s="17" t="n"/>
    </row>
    <row r="34">
      <c r="A34" s="17" t="n"/>
      <c r="B34" s="27" t="n"/>
      <c r="C34" s="26" t="n"/>
      <c r="D34" s="28" t="n"/>
      <c r="E34" s="28" t="n"/>
      <c r="F34" s="32">
        <f>IF(OR(D34="",E34=""),"",D34/E34)</f>
        <v/>
      </c>
      <c r="G34" s="32">
        <f>IF(F34="","",F34/$F$11)</f>
        <v/>
      </c>
      <c r="H34" s="20">
        <f>IF(G34="","",1-G34)</f>
        <v/>
      </c>
      <c r="I34" s="19">
        <f>IF(H34="","",H34*Formulation!$B$17)</f>
        <v/>
      </c>
      <c r="J34" s="42">
        <f>IF(H34="","",100*Formulation!$B$21*(1-H34))</f>
        <v/>
      </c>
      <c r="K34" s="43">
        <f>IF(E34="","",E34/$E$11-1)</f>
        <v/>
      </c>
      <c r="L34" s="21">
        <f>IF(K34="","",IF(ABS(K34)&gt;$B$7,"Check ref band / contact","OK"))</f>
        <v/>
      </c>
      <c r="M34" s="17" t="n"/>
    </row>
    <row r="35">
      <c r="A35" s="17" t="n"/>
      <c r="B35" s="27" t="n"/>
      <c r="C35" s="26" t="n"/>
      <c r="D35" s="28" t="n"/>
      <c r="E35" s="28" t="n"/>
      <c r="F35" s="32">
        <f>IF(OR(D35="",E35=""),"",D35/E35)</f>
        <v/>
      </c>
      <c r="G35" s="32">
        <f>IF(F35="","",F35/$F$11)</f>
        <v/>
      </c>
      <c r="H35" s="20">
        <f>IF(G35="","",1-G35)</f>
        <v/>
      </c>
      <c r="I35" s="19">
        <f>IF(H35="","",H35*Formulation!$B$17)</f>
        <v/>
      </c>
      <c r="J35" s="42">
        <f>IF(H35="","",100*Formulation!$B$21*(1-H35))</f>
        <v/>
      </c>
      <c r="K35" s="43">
        <f>IF(E35="","",E35/$E$11-1)</f>
        <v/>
      </c>
      <c r="L35" s="21">
        <f>IF(K35="","",IF(ABS(K35)&gt;$B$7,"Check ref band / contact","OK"))</f>
        <v/>
      </c>
      <c r="M35" s="17" t="n"/>
    </row>
    <row r="37">
      <c r="A37" s="2" t="inlineStr">
        <is>
          <t>OH conversion &gt; 100 % (red) means NCO consumed beyond the OH available — side reactions (urea, allophanate, isocyanurate) or a baseline/normalisation problem.</t>
        </is>
      </c>
    </row>
  </sheetData>
  <mergeCells count="3">
    <mergeCell ref="B6:E6"/>
    <mergeCell ref="B5:E5"/>
    <mergeCell ref="B4:E4"/>
  </mergeCells>
  <conditionalFormatting sqref="L11:L35">
    <cfRule type="expression" priority="1" dxfId="0">
      <formula>LEFT($L11,5)="Check"</formula>
    </cfRule>
  </conditionalFormatting>
  <conditionalFormatting sqref="I11:I35">
    <cfRule type="expression" priority="2" dxfId="0">
      <formula>AND(ISNUMBER($I11),$I11&gt;1)</formula>
    </cfRule>
  </conditionalFormatting>
  <hyperlinks>
    <hyperlink ref="O2" location="'Guide'!A1" display="↩ Back to the Guide"/>
    <hyperlink ref="O16" location="'Sample_Prep'!A54" display="▸ Full preparation protocol for this sheet (Sample_Prep)"/>
  </hyperlink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5" customWidth="1" min="11" max="11"/>
    <col width="14" customWidth="1" min="12" max="12"/>
    <col width="20" customWidth="1" min="13" max="13"/>
    <col width="28" customWidth="1" min="14" max="14"/>
  </cols>
  <sheetData>
    <row r="1">
      <c r="A1" s="1" t="inlineStr">
        <is>
          <t>DMA — rubbery-plateau modulus and tan δ Tg</t>
        </is>
      </c>
      <c r="P1" s="16" t="inlineStr">
        <is>
          <t>HOW TO USE — DMA</t>
        </is>
      </c>
    </row>
    <row r="2">
      <c r="A2" s="2" t="inlineStr">
        <is>
          <t>ν_e = E′/(3φRT) → α by Miller–Macosko lookup; independent α from tan δ Tg via DiBenedetto.     ▸ How to use this sheet: column P</t>
        </is>
      </c>
      <c r="P2" s="4" t="inlineStr">
        <is>
          <t>↩ Back to the Guide</t>
        </is>
      </c>
    </row>
    <row r="3">
      <c r="P3" s="22" t="inlineStr">
        <is>
          <t>Set up</t>
        </is>
      </c>
    </row>
    <row r="4">
      <c r="A4" s="23" t="inlineStr">
        <is>
          <t>Front-factor model</t>
        </is>
      </c>
      <c r="B4" s="17" t="inlineStr">
        <is>
          <t>Affine</t>
        </is>
      </c>
      <c r="C4" s="2" t="inlineStr">
        <is>
          <t>Affine φ = 1; Phantom φ = 1 − 2/f</t>
        </is>
      </c>
      <c r="P4" s="5" t="inlineStr">
        <is>
          <t>1  B4: front factor — Affine (φ = 1) is the usual choice; Phantom uses φ = 1 − 2/f.</t>
        </is>
      </c>
    </row>
    <row r="5">
      <c r="A5" s="23" t="inlineStr">
        <is>
          <t>φ</t>
        </is>
      </c>
      <c r="B5" s="42">
        <f>IF(B4="Phantom",1-2/Formulation!B23,1)</f>
        <v/>
      </c>
      <c r="P5" s="5" t="inlineStr">
        <is>
          <t>2  B10 must read OK (one difunctional component, crosslinker f = 3 or 4) for column K to be valid.</t>
        </is>
      </c>
    </row>
    <row r="6">
      <c r="A6" s="23" t="inlineStr">
        <is>
          <t>R (J/mol·K)</t>
        </is>
      </c>
      <c r="B6" s="30" t="n">
        <v>8.314462618</v>
      </c>
      <c r="C6" s="2" t="inlineStr">
        <is>
          <t>CODATA 2018 gas constant</t>
        </is>
      </c>
      <c r="P6" s="22" t="inlineStr">
        <is>
          <t>Measure each cured, post-gel specimen</t>
        </is>
      </c>
    </row>
    <row r="7">
      <c r="A7" s="23" t="inlineStr">
        <is>
          <t>Density (g/cm³)</t>
        </is>
      </c>
      <c r="B7" s="42">
        <f>Formulation!B11</f>
        <v/>
      </c>
      <c r="P7" s="5" t="inlineStr">
        <is>
          <t>3  Temperature ramp from below Tg (e.g. 1 Hz, strain inside the linear region, 2–3 K/min).</t>
        </is>
      </c>
    </row>
    <row r="8">
      <c r="A8" s="23" t="inlineStr">
        <is>
          <t>Theoretical ν_e at max conversion (mol/m³)</t>
        </is>
      </c>
      <c r="B8" s="18">
        <f>Formulation!B30</f>
        <v/>
      </c>
      <c r="P8" s="5" t="inlineStr">
        <is>
          <t>4  Column D: E′ on the rubbery plateau, at least 30 °C above the tan δ peak. Column E: that temperature.</t>
        </is>
      </c>
    </row>
    <row r="9">
      <c r="A9" s="23" t="inlineStr">
        <is>
          <t>Gel-point NCO conversion</t>
        </is>
      </c>
      <c r="B9" s="19">
        <f>Formulation!B27</f>
        <v/>
      </c>
      <c r="P9" s="5" t="inlineStr">
        <is>
          <t>5  Column F: tan δ peak temperature (Tg). Leave pre-gel samples (conversion below B9) out.</t>
        </is>
      </c>
    </row>
    <row r="10">
      <c r="A10" s="23" t="inlineStr">
        <is>
          <t>Network model</t>
        </is>
      </c>
      <c r="B10" s="49">
        <f>Formulation!B32</f>
        <v/>
      </c>
      <c r="C10" s="37" t="n"/>
      <c r="D10" s="37" t="n"/>
      <c r="E10" s="37" t="n"/>
      <c r="F10" s="37" t="n"/>
      <c r="G10" s="37" t="n"/>
      <c r="H10" s="36" t="n"/>
      <c r="P10" s="22" t="inlineStr">
        <is>
          <t>Read</t>
        </is>
      </c>
    </row>
    <row r="11">
      <c r="P11" s="5" t="inlineStr">
        <is>
          <t>6  H = crosslink density ν_e, I = Mc, J = ν_e / ν_e,theo, K = α from Miller–Macosko.</t>
        </is>
      </c>
    </row>
    <row r="12">
      <c r="A12" s="3" t="inlineStr">
        <is>
          <t>DiBenedetto parameters (tan δ peak Tg)</t>
        </is>
      </c>
      <c r="F12" s="39" t="inlineStr">
        <is>
          <t>λ source  ▼</t>
        </is>
      </c>
      <c r="H12" s="17" t="inlineStr">
        <is>
          <t>Fitted to DSC α</t>
        </is>
      </c>
      <c r="P12" s="5" t="inlineStr">
        <is>
          <t>7  Tg route (column L): set Tg0 and Tg∞ (B13–B14) from DMA data, and pick the λ source in H12.</t>
        </is>
      </c>
    </row>
    <row r="13">
      <c r="A13" s="23" t="inlineStr">
        <is>
          <t>Tg0 — uncured, tan δ (°C)</t>
        </is>
      </c>
      <c r="B13" s="26" t="n">
        <v>-55</v>
      </c>
      <c r="F13" s="23" t="inlineStr">
        <is>
          <t>Tg0 / Tg∞ in kelvin</t>
        </is>
      </c>
      <c r="K13" s="30">
        <f>(B13+273.15)/(B14+273.15)</f>
        <v/>
      </c>
      <c r="P13" s="2" t="inlineStr">
        <is>
          <t xml:space="preserve">     Default: λ fitted to the DSC residual-heat α of the same sample IDs (needs ≥ 2). B15 shows the λ in use.</t>
        </is>
      </c>
    </row>
    <row r="14">
      <c r="A14" s="23" t="inlineStr">
        <is>
          <t>Tg∞ — fully cured, tan δ (°C)</t>
        </is>
      </c>
      <c r="B14" s="26" t="n">
        <v>-30</v>
      </c>
      <c r="F14" s="23" t="inlineStr">
        <is>
          <t>Fitted to DSC α (by sample ID)</t>
        </is>
      </c>
      <c r="I14" s="25" t="inlineStr">
        <is>
          <t>points used</t>
        </is>
      </c>
      <c r="J14" s="41">
        <f>Lambda_Fit!$AC$8</f>
        <v/>
      </c>
      <c r="K14" s="42">
        <f>Lambda_Fit!$AC$9</f>
        <v/>
      </c>
      <c r="P14" s="2" t="inlineStr">
        <is>
          <t>"&gt; theoretical" in column K: physical crosslinks, entanglements or side-reaction branching inflate E′.</t>
        </is>
      </c>
    </row>
    <row r="15">
      <c r="A15" s="23" t="inlineStr">
        <is>
          <t>λ used (source picked in H12)</t>
        </is>
      </c>
      <c r="B15" s="30">
        <f>IF($H$12="Same as DSC sheet",K15,IF($H$12="Tg0/Tg∞ estimate",K13,IF($H$12="Manual",K16,K14)))</f>
        <v/>
      </c>
      <c r="F15" s="23" t="inlineStr">
        <is>
          <t>Same λ as the DSC sheet</t>
        </is>
      </c>
      <c r="K15" s="42">
        <f>DSC!$B$20</f>
        <v/>
      </c>
      <c r="P15" s="22" t="inlineStr">
        <is>
          <t>Specimens</t>
        </is>
      </c>
    </row>
    <row r="16">
      <c r="A16" s="2" t="inlineStr">
        <is>
          <t>Tg0 by DMA is rarely measurable (liquid): extrapolate, or use DSC Tg0 plus your DSC→tan δ offset</t>
        </is>
      </c>
      <c r="F16" s="23" t="inlineStr">
        <is>
          <t>Manual λ</t>
        </is>
      </c>
      <c r="K16" s="28" t="n">
        <v>0.45</v>
      </c>
      <c r="P16" s="5" t="inlineStr">
        <is>
          <t>Bars moulded from the same degassed batch and cured alongside; strain sweep first, then the ramp.</t>
        </is>
      </c>
    </row>
    <row r="17" ht="45" customHeight="1">
      <c r="A17" s="11" t="inlineStr">
        <is>
          <t>Sample ID</t>
        </is>
      </c>
      <c r="B17" s="11" t="inlineStr">
        <is>
          <t>Cure temp (°C)</t>
        </is>
      </c>
      <c r="C17" s="11" t="inlineStr">
        <is>
          <t>Cure time (h)</t>
        </is>
      </c>
      <c r="D17" s="11" t="inlineStr">
        <is>
          <t>E′ rubbery plateau (MPa)</t>
        </is>
      </c>
      <c r="E17" s="11" t="inlineStr">
        <is>
          <t>T at E′ (°C)</t>
        </is>
      </c>
      <c r="F17" s="11" t="inlineStr">
        <is>
          <t>tan δ peak Tg (°C)</t>
        </is>
      </c>
      <c r="G17" s="11" t="inlineStr">
        <is>
          <t>T (K)</t>
        </is>
      </c>
      <c r="H17" s="11" t="inlineStr">
        <is>
          <t>ν_e (mol/m³)</t>
        </is>
      </c>
      <c r="I17" s="11" t="inlineStr">
        <is>
          <t>Mc (g/mol)</t>
        </is>
      </c>
      <c r="J17" s="11" t="inlineStr">
        <is>
          <t>ν_e / ν_e,theo</t>
        </is>
      </c>
      <c r="K17" s="11" t="inlineStr">
        <is>
          <t>α — Miller–Macosko</t>
        </is>
      </c>
      <c r="L17" s="11" t="inlineStr">
        <is>
          <t>α — DiBenedetto</t>
        </is>
      </c>
      <c r="M17" s="11" t="inlineStr">
        <is>
          <t>Plateau check</t>
        </is>
      </c>
      <c r="N17" s="11" t="inlineStr">
        <is>
          <t>Notes</t>
        </is>
      </c>
      <c r="P17" s="4" t="inlineStr">
        <is>
          <t>▸ Full preparation protocol for this sheet (Sample_Prep)</t>
        </is>
      </c>
    </row>
    <row r="18">
      <c r="A18" s="17" t="inlineStr">
        <is>
          <t>S2</t>
        </is>
      </c>
      <c r="B18" s="27" t="n">
        <v>60</v>
      </c>
      <c r="C18" s="26" t="n">
        <v>8</v>
      </c>
      <c r="D18" s="28" t="n">
        <v>0.04</v>
      </c>
      <c r="E18" s="26" t="n">
        <v>25</v>
      </c>
      <c r="F18" s="26" t="n">
        <v>-40.6</v>
      </c>
      <c r="G18" s="46">
        <f>IF(E18="","",E18+273.15)</f>
        <v/>
      </c>
      <c r="H18" s="31">
        <f>IF(OR(D18="",G18=""),"",D18*1000000/(3*$B$5*$B$6*G18))</f>
        <v/>
      </c>
      <c r="I18" s="50">
        <f>IF(H18="","",$B$7*1000000/H18)</f>
        <v/>
      </c>
      <c r="J18" s="20">
        <f>IF(OR(H18="",$B$8&lt;=0),"",H18/$B$8)</f>
        <v/>
      </c>
      <c r="K18" s="20">
        <f>IF(OR(H18="",$B$8&lt;=0),"",IF(H18&gt;$B$8,"&gt; theoretical",INDEX(MM_Table!$A$9:$A$1009,MATCH(H18,MM_Table!$D$9:$D$1009,1))))</f>
        <v/>
      </c>
      <c r="L18" s="20">
        <f>IF(OR(F18="",$B$15=""),"",((F18-$B$13)/($B$14-$B$13))/($B$15+((F18-$B$13)/($B$14-$B$13))*(1-$B$15)))</f>
        <v/>
      </c>
      <c r="M18" s="21">
        <f>IF(OR(E18="",F18=""),"",IF(E18-F18&gt;=30,"OK","T &lt; Tg + 30 °C"))</f>
        <v/>
      </c>
      <c r="N18" s="17" t="n"/>
    </row>
    <row r="19">
      <c r="A19" s="17" t="inlineStr">
        <is>
          <t>S3</t>
        </is>
      </c>
      <c r="B19" s="27" t="n">
        <v>60</v>
      </c>
      <c r="C19" s="26" t="n">
        <v>24</v>
      </c>
      <c r="D19" s="28" t="n">
        <v>1.53</v>
      </c>
      <c r="E19" s="26" t="n">
        <v>25</v>
      </c>
      <c r="F19" s="26" t="n">
        <v>-35</v>
      </c>
      <c r="G19" s="46">
        <f>IF(E19="","",E19+273.15)</f>
        <v/>
      </c>
      <c r="H19" s="31">
        <f>IF(OR(D19="",G19=""),"",D19*1000000/(3*$B$5*$B$6*G19))</f>
        <v/>
      </c>
      <c r="I19" s="50">
        <f>IF(H19="","",$B$7*1000000/H19)</f>
        <v/>
      </c>
      <c r="J19" s="20">
        <f>IF(OR(H19="",$B$8&lt;=0),"",H19/$B$8)</f>
        <v/>
      </c>
      <c r="K19" s="20">
        <f>IF(OR(H19="",$B$8&lt;=0),"",IF(H19&gt;$B$8,"&gt; theoretical",INDEX(MM_Table!$A$9:$A$1009,MATCH(H19,MM_Table!$D$9:$D$1009,1))))</f>
        <v/>
      </c>
      <c r="L19" s="20">
        <f>IF(OR(F19="",$B$15=""),"",((F19-$B$13)/($B$14-$B$13))/($B$15+((F19-$B$13)/($B$14-$B$13))*(1-$B$15)))</f>
        <v/>
      </c>
      <c r="M19" s="21">
        <f>IF(OR(E19="",F19=""),"",IF(E19-F19&gt;=30,"OK","T &lt; Tg + 30 °C"))</f>
        <v/>
      </c>
      <c r="N19" s="17" t="n"/>
      <c r="P19" s="22" t="inlineStr">
        <is>
          <t>Figure — read E′ on the plateau (dots); Tg is the tan δ peak.</t>
        </is>
      </c>
    </row>
    <row r="20">
      <c r="A20" s="17" t="inlineStr">
        <is>
          <t>S4</t>
        </is>
      </c>
      <c r="B20" s="27" t="n">
        <v>60</v>
      </c>
      <c r="C20" s="26" t="n">
        <v>72</v>
      </c>
      <c r="D20" s="28" t="n">
        <v>2.81</v>
      </c>
      <c r="E20" s="26" t="n">
        <v>25</v>
      </c>
      <c r="F20" s="26" t="n">
        <v>-31.6</v>
      </c>
      <c r="G20" s="46">
        <f>IF(E20="","",E20+273.15)</f>
        <v/>
      </c>
      <c r="H20" s="31">
        <f>IF(OR(D20="",G20=""),"",D20*1000000/(3*$B$5*$B$6*G20))</f>
        <v/>
      </c>
      <c r="I20" s="50">
        <f>IF(H20="","",$B$7*1000000/H20)</f>
        <v/>
      </c>
      <c r="J20" s="20">
        <f>IF(OR(H20="",$B$8&lt;=0),"",H20/$B$8)</f>
        <v/>
      </c>
      <c r="K20" s="20">
        <f>IF(OR(H20="",$B$8&lt;=0),"",IF(H20&gt;$B$8,"&gt; theoretical",INDEX(MM_Table!$A$9:$A$1009,MATCH(H20,MM_Table!$D$9:$D$1009,1))))</f>
        <v/>
      </c>
      <c r="L20" s="20">
        <f>IF(OR(F20="",$B$15=""),"",((F20-$B$13)/($B$14-$B$13))/($B$15+((F20-$B$13)/($B$14-$B$13))*(1-$B$15)))</f>
        <v/>
      </c>
      <c r="M20" s="21">
        <f>IF(OR(E20="",F20=""),"",IF(E20-F20&gt;=30,"OK","T &lt; Tg + 30 °C"))</f>
        <v/>
      </c>
      <c r="N20" s="17" t="n"/>
    </row>
    <row r="21">
      <c r="A21" s="17" t="n"/>
      <c r="B21" s="27" t="n"/>
      <c r="C21" s="26" t="n"/>
      <c r="D21" s="28" t="n"/>
      <c r="E21" s="26" t="n"/>
      <c r="F21" s="26" t="n"/>
      <c r="G21" s="46">
        <f>IF(E21="","",E21+273.15)</f>
        <v/>
      </c>
      <c r="H21" s="31">
        <f>IF(OR(D21="",G21=""),"",D21*1000000/(3*$B$5*$B$6*G21))</f>
        <v/>
      </c>
      <c r="I21" s="50">
        <f>IF(H21="","",$B$7*1000000/H21)</f>
        <v/>
      </c>
      <c r="J21" s="20">
        <f>IF(OR(H21="",$B$8&lt;=0),"",H21/$B$8)</f>
        <v/>
      </c>
      <c r="K21" s="20">
        <f>IF(OR(H21="",$B$8&lt;=0),"",IF(H21&gt;$B$8,"&gt; theoretical",INDEX(MM_Table!$A$9:$A$1009,MATCH(H21,MM_Table!$D$9:$D$1009,1))))</f>
        <v/>
      </c>
      <c r="L21" s="20">
        <f>IF(OR(F21="",$B$15=""),"",((F21-$B$13)/($B$14-$B$13))/($B$15+((F21-$B$13)/($B$14-$B$13))*(1-$B$15)))</f>
        <v/>
      </c>
      <c r="M21" s="21">
        <f>IF(OR(E21="",F21=""),"",IF(E21-F21&gt;=30,"OK","T &lt; Tg + 30 °C"))</f>
        <v/>
      </c>
      <c r="N21" s="17" t="n"/>
    </row>
    <row r="22">
      <c r="A22" s="17" t="n"/>
      <c r="B22" s="27" t="n"/>
      <c r="C22" s="26" t="n"/>
      <c r="D22" s="28" t="n"/>
      <c r="E22" s="26" t="n"/>
      <c r="F22" s="26" t="n"/>
      <c r="G22" s="46">
        <f>IF(E22="","",E22+273.15)</f>
        <v/>
      </c>
      <c r="H22" s="31">
        <f>IF(OR(D22="",G22=""),"",D22*1000000/(3*$B$5*$B$6*G22))</f>
        <v/>
      </c>
      <c r="I22" s="50">
        <f>IF(H22="","",$B$7*1000000/H22)</f>
        <v/>
      </c>
      <c r="J22" s="20">
        <f>IF(OR(H22="",$B$8&lt;=0),"",H22/$B$8)</f>
        <v/>
      </c>
      <c r="K22" s="20">
        <f>IF(OR(H22="",$B$8&lt;=0),"",IF(H22&gt;$B$8,"&gt; theoretical",INDEX(MM_Table!$A$9:$A$1009,MATCH(H22,MM_Table!$D$9:$D$1009,1))))</f>
        <v/>
      </c>
      <c r="L22" s="20">
        <f>IF(OR(F22="",$B$15=""),"",((F22-$B$13)/($B$14-$B$13))/($B$15+((F22-$B$13)/($B$14-$B$13))*(1-$B$15)))</f>
        <v/>
      </c>
      <c r="M22" s="21">
        <f>IF(OR(E22="",F22=""),"",IF(E22-F22&gt;=30,"OK","T &lt; Tg + 30 °C"))</f>
        <v/>
      </c>
      <c r="N22" s="17" t="n"/>
    </row>
    <row r="23">
      <c r="A23" s="17" t="n"/>
      <c r="B23" s="27" t="n"/>
      <c r="C23" s="26" t="n"/>
      <c r="D23" s="28" t="n"/>
      <c r="E23" s="26" t="n"/>
      <c r="F23" s="26" t="n"/>
      <c r="G23" s="46">
        <f>IF(E23="","",E23+273.15)</f>
        <v/>
      </c>
      <c r="H23" s="31">
        <f>IF(OR(D23="",G23=""),"",D23*1000000/(3*$B$5*$B$6*G23))</f>
        <v/>
      </c>
      <c r="I23" s="50">
        <f>IF(H23="","",$B$7*1000000/H23)</f>
        <v/>
      </c>
      <c r="J23" s="20">
        <f>IF(OR(H23="",$B$8&lt;=0),"",H23/$B$8)</f>
        <v/>
      </c>
      <c r="K23" s="20">
        <f>IF(OR(H23="",$B$8&lt;=0),"",IF(H23&gt;$B$8,"&gt; theoretical",INDEX(MM_Table!$A$9:$A$1009,MATCH(H23,MM_Table!$D$9:$D$1009,1))))</f>
        <v/>
      </c>
      <c r="L23" s="20">
        <f>IF(OR(F23="",$B$15=""),"",((F23-$B$13)/($B$14-$B$13))/($B$15+((F23-$B$13)/($B$14-$B$13))*(1-$B$15)))</f>
        <v/>
      </c>
      <c r="M23" s="21">
        <f>IF(OR(E23="",F23=""),"",IF(E23-F23&gt;=30,"OK","T &lt; Tg + 30 °C"))</f>
        <v/>
      </c>
      <c r="N23" s="17" t="n"/>
    </row>
    <row r="24">
      <c r="A24" s="17" t="n"/>
      <c r="B24" s="27" t="n"/>
      <c r="C24" s="26" t="n"/>
      <c r="D24" s="28" t="n"/>
      <c r="E24" s="26" t="n"/>
      <c r="F24" s="26" t="n"/>
      <c r="G24" s="46">
        <f>IF(E24="","",E24+273.15)</f>
        <v/>
      </c>
      <c r="H24" s="31">
        <f>IF(OR(D24="",G24=""),"",D24*1000000/(3*$B$5*$B$6*G24))</f>
        <v/>
      </c>
      <c r="I24" s="50">
        <f>IF(H24="","",$B$7*1000000/H24)</f>
        <v/>
      </c>
      <c r="J24" s="20">
        <f>IF(OR(H24="",$B$8&lt;=0),"",H24/$B$8)</f>
        <v/>
      </c>
      <c r="K24" s="20">
        <f>IF(OR(H24="",$B$8&lt;=0),"",IF(H24&gt;$B$8,"&gt; theoretical",INDEX(MM_Table!$A$9:$A$1009,MATCH(H24,MM_Table!$D$9:$D$1009,1))))</f>
        <v/>
      </c>
      <c r="L24" s="20">
        <f>IF(OR(F24="",$B$15=""),"",((F24-$B$13)/($B$14-$B$13))/($B$15+((F24-$B$13)/($B$14-$B$13))*(1-$B$15)))</f>
        <v/>
      </c>
      <c r="M24" s="21">
        <f>IF(OR(E24="",F24=""),"",IF(E24-F24&gt;=30,"OK","T &lt; Tg + 30 °C"))</f>
        <v/>
      </c>
      <c r="N24" s="17" t="n"/>
    </row>
    <row r="25">
      <c r="A25" s="17" t="n"/>
      <c r="B25" s="27" t="n"/>
      <c r="C25" s="26" t="n"/>
      <c r="D25" s="28" t="n"/>
      <c r="E25" s="26" t="n"/>
      <c r="F25" s="26" t="n"/>
      <c r="G25" s="46">
        <f>IF(E25="","",E25+273.15)</f>
        <v/>
      </c>
      <c r="H25" s="31">
        <f>IF(OR(D25="",G25=""),"",D25*1000000/(3*$B$5*$B$6*G25))</f>
        <v/>
      </c>
      <c r="I25" s="50">
        <f>IF(H25="","",$B$7*1000000/H25)</f>
        <v/>
      </c>
      <c r="J25" s="20">
        <f>IF(OR(H25="",$B$8&lt;=0),"",H25/$B$8)</f>
        <v/>
      </c>
      <c r="K25" s="20">
        <f>IF(OR(H25="",$B$8&lt;=0),"",IF(H25&gt;$B$8,"&gt; theoretical",INDEX(MM_Table!$A$9:$A$1009,MATCH(H25,MM_Table!$D$9:$D$1009,1))))</f>
        <v/>
      </c>
      <c r="L25" s="20">
        <f>IF(OR(F25="",$B$15=""),"",((F25-$B$13)/($B$14-$B$13))/($B$15+((F25-$B$13)/($B$14-$B$13))*(1-$B$15)))</f>
        <v/>
      </c>
      <c r="M25" s="21">
        <f>IF(OR(E25="",F25=""),"",IF(E25-F25&gt;=30,"OK","T &lt; Tg + 30 °C"))</f>
        <v/>
      </c>
      <c r="N25" s="17" t="n"/>
    </row>
    <row r="26">
      <c r="A26" s="17" t="n"/>
      <c r="B26" s="27" t="n"/>
      <c r="C26" s="26" t="n"/>
      <c r="D26" s="28" t="n"/>
      <c r="E26" s="26" t="n"/>
      <c r="F26" s="26" t="n"/>
      <c r="G26" s="46">
        <f>IF(E26="","",E26+273.15)</f>
        <v/>
      </c>
      <c r="H26" s="31">
        <f>IF(OR(D26="",G26=""),"",D26*1000000/(3*$B$5*$B$6*G26))</f>
        <v/>
      </c>
      <c r="I26" s="50">
        <f>IF(H26="","",$B$7*1000000/H26)</f>
        <v/>
      </c>
      <c r="J26" s="20">
        <f>IF(OR(H26="",$B$8&lt;=0),"",H26/$B$8)</f>
        <v/>
      </c>
      <c r="K26" s="20">
        <f>IF(OR(H26="",$B$8&lt;=0),"",IF(H26&gt;$B$8,"&gt; theoretical",INDEX(MM_Table!$A$9:$A$1009,MATCH(H26,MM_Table!$D$9:$D$1009,1))))</f>
        <v/>
      </c>
      <c r="L26" s="20">
        <f>IF(OR(F26="",$B$15=""),"",((F26-$B$13)/($B$14-$B$13))/($B$15+((F26-$B$13)/($B$14-$B$13))*(1-$B$15)))</f>
        <v/>
      </c>
      <c r="M26" s="21">
        <f>IF(OR(E26="",F26=""),"",IF(E26-F26&gt;=30,"OK","T &lt; Tg + 30 °C"))</f>
        <v/>
      </c>
      <c r="N26" s="17" t="n"/>
    </row>
    <row r="27">
      <c r="A27" s="17" t="n"/>
      <c r="B27" s="27" t="n"/>
      <c r="C27" s="26" t="n"/>
      <c r="D27" s="28" t="n"/>
      <c r="E27" s="26" t="n"/>
      <c r="F27" s="26" t="n"/>
      <c r="G27" s="46">
        <f>IF(E27="","",E27+273.15)</f>
        <v/>
      </c>
      <c r="H27" s="31">
        <f>IF(OR(D27="",G27=""),"",D27*1000000/(3*$B$5*$B$6*G27))</f>
        <v/>
      </c>
      <c r="I27" s="50">
        <f>IF(H27="","",$B$7*1000000/H27)</f>
        <v/>
      </c>
      <c r="J27" s="20">
        <f>IF(OR(H27="",$B$8&lt;=0),"",H27/$B$8)</f>
        <v/>
      </c>
      <c r="K27" s="20">
        <f>IF(OR(H27="",$B$8&lt;=0),"",IF(H27&gt;$B$8,"&gt; theoretical",INDEX(MM_Table!$A$9:$A$1009,MATCH(H27,MM_Table!$D$9:$D$1009,1))))</f>
        <v/>
      </c>
      <c r="L27" s="20">
        <f>IF(OR(F27="",$B$15=""),"",((F27-$B$13)/($B$14-$B$13))/($B$15+((F27-$B$13)/($B$14-$B$13))*(1-$B$15)))</f>
        <v/>
      </c>
      <c r="M27" s="21">
        <f>IF(OR(E27="",F27=""),"",IF(E27-F27&gt;=30,"OK","T &lt; Tg + 30 °C"))</f>
        <v/>
      </c>
      <c r="N27" s="17" t="n"/>
    </row>
    <row r="28">
      <c r="A28" s="17" t="n"/>
      <c r="B28" s="27" t="n"/>
      <c r="C28" s="26" t="n"/>
      <c r="D28" s="28" t="n"/>
      <c r="E28" s="26" t="n"/>
      <c r="F28" s="26" t="n"/>
      <c r="G28" s="46">
        <f>IF(E28="","",E28+273.15)</f>
        <v/>
      </c>
      <c r="H28" s="31">
        <f>IF(OR(D28="",G28=""),"",D28*1000000/(3*$B$5*$B$6*G28))</f>
        <v/>
      </c>
      <c r="I28" s="50">
        <f>IF(H28="","",$B$7*1000000/H28)</f>
        <v/>
      </c>
      <c r="J28" s="20">
        <f>IF(OR(H28="",$B$8&lt;=0),"",H28/$B$8)</f>
        <v/>
      </c>
      <c r="K28" s="20">
        <f>IF(OR(H28="",$B$8&lt;=0),"",IF(H28&gt;$B$8,"&gt; theoretical",INDEX(MM_Table!$A$9:$A$1009,MATCH(H28,MM_Table!$D$9:$D$1009,1))))</f>
        <v/>
      </c>
      <c r="L28" s="20">
        <f>IF(OR(F28="",$B$15=""),"",((F28-$B$13)/($B$14-$B$13))/($B$15+((F28-$B$13)/($B$14-$B$13))*(1-$B$15)))</f>
        <v/>
      </c>
      <c r="M28" s="21">
        <f>IF(OR(E28="",F28=""),"",IF(E28-F28&gt;=30,"OK","T &lt; Tg + 30 °C"))</f>
        <v/>
      </c>
      <c r="N28" s="17" t="n"/>
    </row>
    <row r="29">
      <c r="A29" s="17" t="n"/>
      <c r="B29" s="27" t="n"/>
      <c r="C29" s="26" t="n"/>
      <c r="D29" s="28" t="n"/>
      <c r="E29" s="26" t="n"/>
      <c r="F29" s="26" t="n"/>
      <c r="G29" s="46">
        <f>IF(E29="","",E29+273.15)</f>
        <v/>
      </c>
      <c r="H29" s="31">
        <f>IF(OR(D29="",G29=""),"",D29*1000000/(3*$B$5*$B$6*G29))</f>
        <v/>
      </c>
      <c r="I29" s="50">
        <f>IF(H29="","",$B$7*1000000/H29)</f>
        <v/>
      </c>
      <c r="J29" s="20">
        <f>IF(OR(H29="",$B$8&lt;=0),"",H29/$B$8)</f>
        <v/>
      </c>
      <c r="K29" s="20">
        <f>IF(OR(H29="",$B$8&lt;=0),"",IF(H29&gt;$B$8,"&gt; theoretical",INDEX(MM_Table!$A$9:$A$1009,MATCH(H29,MM_Table!$D$9:$D$1009,1))))</f>
        <v/>
      </c>
      <c r="L29" s="20">
        <f>IF(OR(F29="",$B$15=""),"",((F29-$B$13)/($B$14-$B$13))/($B$15+((F29-$B$13)/($B$14-$B$13))*(1-$B$15)))</f>
        <v/>
      </c>
      <c r="M29" s="21">
        <f>IF(OR(E29="",F29=""),"",IF(E29-F29&gt;=30,"OK","T &lt; Tg + 30 °C"))</f>
        <v/>
      </c>
      <c r="N29" s="17" t="n"/>
    </row>
    <row r="30">
      <c r="A30" s="17" t="n"/>
      <c r="B30" s="27" t="n"/>
      <c r="C30" s="26" t="n"/>
      <c r="D30" s="28" t="n"/>
      <c r="E30" s="26" t="n"/>
      <c r="F30" s="26" t="n"/>
      <c r="G30" s="46">
        <f>IF(E30="","",E30+273.15)</f>
        <v/>
      </c>
      <c r="H30" s="31">
        <f>IF(OR(D30="",G30=""),"",D30*1000000/(3*$B$5*$B$6*G30))</f>
        <v/>
      </c>
      <c r="I30" s="50">
        <f>IF(H30="","",$B$7*1000000/H30)</f>
        <v/>
      </c>
      <c r="J30" s="20">
        <f>IF(OR(H30="",$B$8&lt;=0),"",H30/$B$8)</f>
        <v/>
      </c>
      <c r="K30" s="20">
        <f>IF(OR(H30="",$B$8&lt;=0),"",IF(H30&gt;$B$8,"&gt; theoretical",INDEX(MM_Table!$A$9:$A$1009,MATCH(H30,MM_Table!$D$9:$D$1009,1))))</f>
        <v/>
      </c>
      <c r="L30" s="20">
        <f>IF(OR(F30="",$B$15=""),"",((F30-$B$13)/($B$14-$B$13))/($B$15+((F30-$B$13)/($B$14-$B$13))*(1-$B$15)))</f>
        <v/>
      </c>
      <c r="M30" s="21">
        <f>IF(OR(E30="",F30=""),"",IF(E30-F30&gt;=30,"OK","T &lt; Tg + 30 °C"))</f>
        <v/>
      </c>
      <c r="N30" s="17" t="n"/>
    </row>
    <row r="31">
      <c r="A31" s="17" t="n"/>
      <c r="B31" s="27" t="n"/>
      <c r="C31" s="26" t="n"/>
      <c r="D31" s="28" t="n"/>
      <c r="E31" s="26" t="n"/>
      <c r="F31" s="26" t="n"/>
      <c r="G31" s="46">
        <f>IF(E31="","",E31+273.15)</f>
        <v/>
      </c>
      <c r="H31" s="31">
        <f>IF(OR(D31="",G31=""),"",D31*1000000/(3*$B$5*$B$6*G31))</f>
        <v/>
      </c>
      <c r="I31" s="50">
        <f>IF(H31="","",$B$7*1000000/H31)</f>
        <v/>
      </c>
      <c r="J31" s="20">
        <f>IF(OR(H31="",$B$8&lt;=0),"",H31/$B$8)</f>
        <v/>
      </c>
      <c r="K31" s="20">
        <f>IF(OR(H31="",$B$8&lt;=0),"",IF(H31&gt;$B$8,"&gt; theoretical",INDEX(MM_Table!$A$9:$A$1009,MATCH(H31,MM_Table!$D$9:$D$1009,1))))</f>
        <v/>
      </c>
      <c r="L31" s="20">
        <f>IF(OR(F31="",$B$15=""),"",((F31-$B$13)/($B$14-$B$13))/($B$15+((F31-$B$13)/($B$14-$B$13))*(1-$B$15)))</f>
        <v/>
      </c>
      <c r="M31" s="21">
        <f>IF(OR(E31="",F31=""),"",IF(E31-F31&gt;=30,"OK","T &lt; Tg + 30 °C"))</f>
        <v/>
      </c>
      <c r="N31" s="17" t="n"/>
    </row>
    <row r="32">
      <c r="A32" s="17" t="n"/>
      <c r="B32" s="27" t="n"/>
      <c r="C32" s="26" t="n"/>
      <c r="D32" s="28" t="n"/>
      <c r="E32" s="26" t="n"/>
      <c r="F32" s="26" t="n"/>
      <c r="G32" s="46">
        <f>IF(E32="","",E32+273.15)</f>
        <v/>
      </c>
      <c r="H32" s="31">
        <f>IF(OR(D32="",G32=""),"",D32*1000000/(3*$B$5*$B$6*G32))</f>
        <v/>
      </c>
      <c r="I32" s="50">
        <f>IF(H32="","",$B$7*1000000/H32)</f>
        <v/>
      </c>
      <c r="J32" s="20">
        <f>IF(OR(H32="",$B$8&lt;=0),"",H32/$B$8)</f>
        <v/>
      </c>
      <c r="K32" s="20">
        <f>IF(OR(H32="",$B$8&lt;=0),"",IF(H32&gt;$B$8,"&gt; theoretical",INDEX(MM_Table!$A$9:$A$1009,MATCH(H32,MM_Table!$D$9:$D$1009,1))))</f>
        <v/>
      </c>
      <c r="L32" s="20">
        <f>IF(OR(F32="",$B$15=""),"",((F32-$B$13)/($B$14-$B$13))/($B$15+((F32-$B$13)/($B$14-$B$13))*(1-$B$15)))</f>
        <v/>
      </c>
      <c r="M32" s="21">
        <f>IF(OR(E32="",F32=""),"",IF(E32-F32&gt;=30,"OK","T &lt; Tg + 30 °C"))</f>
        <v/>
      </c>
      <c r="N32" s="17" t="n"/>
    </row>
    <row r="33">
      <c r="A33" s="17" t="n"/>
      <c r="B33" s="27" t="n"/>
      <c r="C33" s="26" t="n"/>
      <c r="D33" s="28" t="n"/>
      <c r="E33" s="26" t="n"/>
      <c r="F33" s="26" t="n"/>
      <c r="G33" s="46">
        <f>IF(E33="","",E33+273.15)</f>
        <v/>
      </c>
      <c r="H33" s="31">
        <f>IF(OR(D33="",G33=""),"",D33*1000000/(3*$B$5*$B$6*G33))</f>
        <v/>
      </c>
      <c r="I33" s="50">
        <f>IF(H33="","",$B$7*1000000/H33)</f>
        <v/>
      </c>
      <c r="J33" s="20">
        <f>IF(OR(H33="",$B$8&lt;=0),"",H33/$B$8)</f>
        <v/>
      </c>
      <c r="K33" s="20">
        <f>IF(OR(H33="",$B$8&lt;=0),"",IF(H33&gt;$B$8,"&gt; theoretical",INDEX(MM_Table!$A$9:$A$1009,MATCH(H33,MM_Table!$D$9:$D$1009,1))))</f>
        <v/>
      </c>
      <c r="L33" s="20">
        <f>IF(OR(F33="",$B$15=""),"",((F33-$B$13)/($B$14-$B$13))/($B$15+((F33-$B$13)/($B$14-$B$13))*(1-$B$15)))</f>
        <v/>
      </c>
      <c r="M33" s="21">
        <f>IF(OR(E33="",F33=""),"",IF(E33-F33&gt;=30,"OK","T &lt; Tg + 30 °C"))</f>
        <v/>
      </c>
      <c r="N33" s="17" t="n"/>
    </row>
    <row r="34">
      <c r="A34" s="17" t="n"/>
      <c r="B34" s="27" t="n"/>
      <c r="C34" s="26" t="n"/>
      <c r="D34" s="28" t="n"/>
      <c r="E34" s="26" t="n"/>
      <c r="F34" s="26" t="n"/>
      <c r="G34" s="46">
        <f>IF(E34="","",E34+273.15)</f>
        <v/>
      </c>
      <c r="H34" s="31">
        <f>IF(OR(D34="",G34=""),"",D34*1000000/(3*$B$5*$B$6*G34))</f>
        <v/>
      </c>
      <c r="I34" s="50">
        <f>IF(H34="","",$B$7*1000000/H34)</f>
        <v/>
      </c>
      <c r="J34" s="20">
        <f>IF(OR(H34="",$B$8&lt;=0),"",H34/$B$8)</f>
        <v/>
      </c>
      <c r="K34" s="20">
        <f>IF(OR(H34="",$B$8&lt;=0),"",IF(H34&gt;$B$8,"&gt; theoretical",INDEX(MM_Table!$A$9:$A$1009,MATCH(H34,MM_Table!$D$9:$D$1009,1))))</f>
        <v/>
      </c>
      <c r="L34" s="20">
        <f>IF(OR(F34="",$B$15=""),"",((F34-$B$13)/($B$14-$B$13))/($B$15+((F34-$B$13)/($B$14-$B$13))*(1-$B$15)))</f>
        <v/>
      </c>
      <c r="M34" s="21">
        <f>IF(OR(E34="",F34=""),"",IF(E34-F34&gt;=30,"OK","T &lt; Tg + 30 °C"))</f>
        <v/>
      </c>
      <c r="N34" s="17" t="n"/>
    </row>
    <row r="35">
      <c r="A35" s="17" t="n"/>
      <c r="B35" s="27" t="n"/>
      <c r="C35" s="26" t="n"/>
      <c r="D35" s="28" t="n"/>
      <c r="E35" s="26" t="n"/>
      <c r="F35" s="26" t="n"/>
      <c r="G35" s="46">
        <f>IF(E35="","",E35+273.15)</f>
        <v/>
      </c>
      <c r="H35" s="31">
        <f>IF(OR(D35="",G35=""),"",D35*1000000/(3*$B$5*$B$6*G35))</f>
        <v/>
      </c>
      <c r="I35" s="50">
        <f>IF(H35="","",$B$7*1000000/H35)</f>
        <v/>
      </c>
      <c r="J35" s="20">
        <f>IF(OR(H35="",$B$8&lt;=0),"",H35/$B$8)</f>
        <v/>
      </c>
      <c r="K35" s="20">
        <f>IF(OR(H35="",$B$8&lt;=0),"",IF(H35&gt;$B$8,"&gt; theoretical",INDEX(MM_Table!$A$9:$A$1009,MATCH(H35,MM_Table!$D$9:$D$1009,1))))</f>
        <v/>
      </c>
      <c r="L35" s="20">
        <f>IF(OR(F35="",$B$15=""),"",((F35-$B$13)/($B$14-$B$13))/($B$15+((F35-$B$13)/($B$14-$B$13))*(1-$B$15)))</f>
        <v/>
      </c>
      <c r="M35" s="21">
        <f>IF(OR(E35="",F35=""),"",IF(E35-F35&gt;=30,"OK","T &lt; Tg + 30 °C"))</f>
        <v/>
      </c>
      <c r="N35" s="17" t="n"/>
    </row>
    <row r="36">
      <c r="A36" s="17" t="n"/>
      <c r="B36" s="27" t="n"/>
      <c r="C36" s="26" t="n"/>
      <c r="D36" s="28" t="n"/>
      <c r="E36" s="26" t="n"/>
      <c r="F36" s="26" t="n"/>
      <c r="G36" s="46">
        <f>IF(E36="","",E36+273.15)</f>
        <v/>
      </c>
      <c r="H36" s="31">
        <f>IF(OR(D36="",G36=""),"",D36*1000000/(3*$B$5*$B$6*G36))</f>
        <v/>
      </c>
      <c r="I36" s="50">
        <f>IF(H36="","",$B$7*1000000/H36)</f>
        <v/>
      </c>
      <c r="J36" s="20">
        <f>IF(OR(H36="",$B$8&lt;=0),"",H36/$B$8)</f>
        <v/>
      </c>
      <c r="K36" s="20">
        <f>IF(OR(H36="",$B$8&lt;=0),"",IF(H36&gt;$B$8,"&gt; theoretical",INDEX(MM_Table!$A$9:$A$1009,MATCH(H36,MM_Table!$D$9:$D$1009,1))))</f>
        <v/>
      </c>
      <c r="L36" s="20">
        <f>IF(OR(F36="",$B$15=""),"",((F36-$B$13)/($B$14-$B$13))/($B$15+((F36-$B$13)/($B$14-$B$13))*(1-$B$15)))</f>
        <v/>
      </c>
      <c r="M36" s="21">
        <f>IF(OR(E36="",F36=""),"",IF(E36-F36&gt;=30,"OK","T &lt; Tg + 30 °C"))</f>
        <v/>
      </c>
      <c r="N36" s="17" t="n"/>
    </row>
    <row r="37">
      <c r="A37" s="17" t="n"/>
      <c r="B37" s="27" t="n"/>
      <c r="C37" s="26" t="n"/>
      <c r="D37" s="28" t="n"/>
      <c r="E37" s="26" t="n"/>
      <c r="F37" s="26" t="n"/>
      <c r="G37" s="46">
        <f>IF(E37="","",E37+273.15)</f>
        <v/>
      </c>
      <c r="H37" s="31">
        <f>IF(OR(D37="",G37=""),"",D37*1000000/(3*$B$5*$B$6*G37))</f>
        <v/>
      </c>
      <c r="I37" s="50">
        <f>IF(H37="","",$B$7*1000000/H37)</f>
        <v/>
      </c>
      <c r="J37" s="20">
        <f>IF(OR(H37="",$B$8&lt;=0),"",H37/$B$8)</f>
        <v/>
      </c>
      <c r="K37" s="20">
        <f>IF(OR(H37="",$B$8&lt;=0),"",IF(H37&gt;$B$8,"&gt; theoretical",INDEX(MM_Table!$A$9:$A$1009,MATCH(H37,MM_Table!$D$9:$D$1009,1))))</f>
        <v/>
      </c>
      <c r="L37" s="20">
        <f>IF(OR(F37="",$B$15=""),"",((F37-$B$13)/($B$14-$B$13))/($B$15+((F37-$B$13)/($B$14-$B$13))*(1-$B$15)))</f>
        <v/>
      </c>
      <c r="M37" s="21">
        <f>IF(OR(E37="",F37=""),"",IF(E37-F37&gt;=30,"OK","T &lt; Tg + 30 °C"))</f>
        <v/>
      </c>
      <c r="N37" s="17" t="n"/>
    </row>
    <row r="39">
      <c r="A39" s="2" t="inlineStr">
        <is>
          <t>"&gt; theoretical": measured ν_e exceeds the ideal network — physical crosslinks (hard segments, H-bonding), trapped entanglements, side-reaction branching, or wrong φ/inputs.</t>
        </is>
      </c>
    </row>
  </sheetData>
  <mergeCells count="2">
    <mergeCell ref="B10:H10"/>
    <mergeCell ref="H12:K12"/>
  </mergeCells>
  <conditionalFormatting sqref="B10">
    <cfRule type="expression" priority="1" dxfId="0">
      <formula>LEFT($B$10,7)="WARNING"</formula>
    </cfRule>
  </conditionalFormatting>
  <conditionalFormatting sqref="K18:M37">
    <cfRule type="expression" priority="2" dxfId="0">
      <formula>OR(K18="&gt; theoretical",LEFT(K18,6)="T &lt; Tg")</formula>
    </cfRule>
  </conditionalFormatting>
  <dataValidations count="2">
    <dataValidation sqref="B4" showDropDown="0" showInputMessage="0" showErrorMessage="1" allowBlank="0" type="list">
      <formula1>"Affine,Phantom"</formula1>
    </dataValidation>
    <dataValidation sqref="H12" showDropDown="0" showInputMessage="0" showErrorMessage="1" allowBlank="0" type="list">
      <formula1>"Fitted to DSC α,Same as DSC sheet,Tg0/Tg∞ estimate,Manual"</formula1>
    </dataValidation>
  </dataValidations>
  <hyperlinks>
    <hyperlink ref="P2" location="'Guide'!A1" display="↩ Back to the Guide"/>
    <hyperlink ref="P17" location="'Sample_Prep'!A56" display="▸ Full preparation protocol for this sheet (Sample_Prep)"/>
  </hyperlink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1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  <col width="11" customWidth="1" min="21" max="21"/>
    <col width="22" customWidth="1" min="22" max="22"/>
    <col width="16" customWidth="1" min="23" max="23"/>
  </cols>
  <sheetData>
    <row r="1">
      <c r="A1" s="1" t="inlineStr">
        <is>
          <t>TMA — Tg from thermal expansion, and rubbery compression modulus</t>
        </is>
      </c>
      <c r="Y1" s="16" t="inlineStr">
        <is>
          <t>HOW TO USE — TMA</t>
        </is>
      </c>
    </row>
    <row r="2">
      <c r="A2" s="2" t="inlineStr">
        <is>
          <t>Route 1: Tg where the glassy and rubbery tangents cross → α by DiBenedetto.   Route 2: compression modulus above Tg → ν_e → α by Miller–Macosko.     ▸ How to use this sheet: column Y</t>
        </is>
      </c>
      <c r="Y2" s="4" t="inlineStr">
        <is>
          <t>↩ Back to the Guide</t>
        </is>
      </c>
    </row>
    <row r="3">
      <c r="Y3" s="22" t="inlineStr">
        <is>
          <t>Set up</t>
        </is>
      </c>
    </row>
    <row r="4">
      <c r="A4" s="23" t="inlineStr">
        <is>
          <t>Front-factor model  ▼</t>
        </is>
      </c>
      <c r="B4" s="17" t="inlineStr">
        <is>
          <t>Affine</t>
        </is>
      </c>
      <c r="C4" s="2" t="inlineStr">
        <is>
          <t>Affine φ = 1; Phantom φ = 1 − 2/f</t>
        </is>
      </c>
      <c r="Y4" s="5" t="inlineStr">
        <is>
          <t>1  B4: front factor (Affine or Phantom), as on DMA.  B10 must read OK for Route 2.</t>
        </is>
      </c>
    </row>
    <row r="5">
      <c r="A5" s="23" t="inlineStr">
        <is>
          <t>φ</t>
        </is>
      </c>
      <c r="B5" s="42">
        <f>IF(B4="Phantom",1-2/Formulation!B23,1)</f>
        <v/>
      </c>
      <c r="Y5" s="5" t="inlineStr">
        <is>
          <t>2  Tg0 and Tg∞ (B13–B14) measured by TMA; pick the λ source in H12 (default: fitted to DSC α by sample ID).</t>
        </is>
      </c>
    </row>
    <row r="6">
      <c r="A6" s="23" t="inlineStr">
        <is>
          <t>R (J/mol·K)</t>
        </is>
      </c>
      <c r="B6" s="30" t="n">
        <v>8.314462618</v>
      </c>
      <c r="Y6" s="22" t="inlineStr">
        <is>
          <t>Route 1 — Tg from expansion (rows 20–39)</t>
        </is>
      </c>
    </row>
    <row r="7">
      <c r="A7" s="23" t="inlineStr">
        <is>
          <t>Density (g/cm³)</t>
        </is>
      </c>
      <c r="B7" s="42">
        <f>Formulation!B11</f>
        <v/>
      </c>
      <c r="Y7" s="5" t="inlineStr">
        <is>
          <t>3  Run the expansion program and enter the specimen thickness L0 (column D).</t>
        </is>
      </c>
    </row>
    <row r="8">
      <c r="A8" s="23" t="inlineStr">
        <is>
          <t>Theoretical ν_e at max conversion (mol/m³)</t>
        </is>
      </c>
      <c r="B8" s="18">
        <f>Formulation!B30</f>
        <v/>
      </c>
      <c r="Y8" s="5" t="inlineStr">
        <is>
          <t>4  Type the instrument's Tg in column E, or pick two points on the glassy line (T1, T2) and two on</t>
        </is>
      </c>
    </row>
    <row r="9">
      <c r="A9" s="23" t="inlineStr">
        <is>
          <t>Gel-point NCO conversion</t>
        </is>
      </c>
      <c r="B9" s="19">
        <f>Formulation!B27</f>
        <v/>
      </c>
      <c r="Y9" s="2" t="inlineStr">
        <is>
          <t xml:space="preserve">     the rubbery line (T3, T4) with their ΔL; the sheet finds where the tangents cross (column P).</t>
        </is>
      </c>
    </row>
    <row r="10">
      <c r="A10" s="23" t="inlineStr">
        <is>
          <t>Network model</t>
        </is>
      </c>
      <c r="B10" s="49">
        <f>Formulation!B32</f>
        <v/>
      </c>
      <c r="C10" s="37" t="n"/>
      <c r="D10" s="37" t="n"/>
      <c r="E10" s="37" t="n"/>
      <c r="F10" s="37" t="n"/>
      <c r="G10" s="37" t="n"/>
      <c r="H10" s="36" t="n"/>
      <c r="Y10" s="5" t="inlineStr">
        <is>
          <t>5  Columns N–O give the glassy and rubbery CTE; column S gives α from Tg.</t>
        </is>
      </c>
    </row>
    <row r="11">
      <c r="Y11" s="22" t="inlineStr">
        <is>
          <t>Route 2 — compression modulus (rows 43–62)</t>
        </is>
      </c>
    </row>
    <row r="12">
      <c r="A12" s="3" t="inlineStr">
        <is>
          <t>DiBenedetto parameters (TMA expansion Tg)</t>
        </is>
      </c>
      <c r="F12" s="39" t="inlineStr">
        <is>
          <t>λ source  ▼</t>
        </is>
      </c>
      <c r="H12" s="17" t="inlineStr">
        <is>
          <t>Fitted to DSC α</t>
        </is>
      </c>
      <c r="Y12" s="5" t="inlineStr">
        <is>
          <t>6  At ≥ Tg + 30 °C enter thickness, diameter, then force 1 (preload) and force 2 with their deformations.</t>
        </is>
      </c>
    </row>
    <row r="13">
      <c r="A13" s="23" t="inlineStr">
        <is>
          <t>Tg0 — uncured, TMA (°C)</t>
        </is>
      </c>
      <c r="B13" s="26" t="n">
        <v>-66</v>
      </c>
      <c r="F13" s="23" t="inlineStr">
        <is>
          <t>Tg0 / Tg∞ in kelvin</t>
        </is>
      </c>
      <c r="K13" s="30">
        <f>(B13+273.15)/(B14+273.15)</f>
        <v/>
      </c>
      <c r="Y13" s="5" t="inlineStr">
        <is>
          <t>7  Column N = shear modulus G (neo-Hookean, two-point), Q = ν_e, T = α from Miller–Macosko.</t>
        </is>
      </c>
    </row>
    <row r="14">
      <c r="A14" s="23" t="inlineStr">
        <is>
          <t>Tg∞ — fully cured, TMA (°C)</t>
        </is>
      </c>
      <c r="B14" s="26" t="n">
        <v>-41</v>
      </c>
      <c r="F14" s="23" t="inlineStr">
        <is>
          <t>Fitted to DSC α (by sample ID)</t>
        </is>
      </c>
      <c r="I14" s="25" t="inlineStr">
        <is>
          <t>points used</t>
        </is>
      </c>
      <c r="J14" s="41">
        <f>Lambda_Fit!$AC$11</f>
        <v/>
      </c>
      <c r="K14" s="42">
        <f>Lambda_Fit!$AC$12</f>
        <v/>
      </c>
      <c r="Y14" s="2" t="inlineStr">
        <is>
          <t>Column V flags T &lt; Tg + 30 °C (using the Route 1 Tg of the same sample ID) and compression above 20 %.</t>
        </is>
      </c>
    </row>
    <row r="15">
      <c r="A15" s="23" t="inlineStr">
        <is>
          <t>λ used (source picked in H12)</t>
        </is>
      </c>
      <c r="B15" s="30">
        <f>IF($H$12="Same as DSC sheet",K15,IF($H$12="Tg0/Tg∞ estimate",K13,IF($H$12="Manual",K16,K14)))</f>
        <v/>
      </c>
      <c r="F15" s="23" t="inlineStr">
        <is>
          <t>Same λ as the DSC sheet</t>
        </is>
      </c>
      <c r="K15" s="42">
        <f>DSC!$B$20</f>
        <v/>
      </c>
      <c r="Y15" s="22" t="inlineStr">
        <is>
          <t>Specimens</t>
        </is>
      </c>
    </row>
    <row r="16">
      <c r="A16" s="2" t="inlineStr">
        <is>
          <t>Tg0: quench fresh mix below Tg in a TMA pan; the probe sinks where it softens</t>
        </is>
      </c>
      <c r="F16" s="23" t="inlineStr">
        <is>
          <t>Manual λ</t>
        </is>
      </c>
      <c r="K16" s="28" t="n">
        <v>0.45</v>
      </c>
      <c r="Y16" s="5" t="inlineStr">
        <is>
          <t>Flat, parallel discs moulded from the same batch; small expansion force; lubricated faces for compression.</t>
        </is>
      </c>
    </row>
    <row r="17">
      <c r="Y17" s="4" t="inlineStr">
        <is>
          <t>▸ Full preparation protocol for this sheet (Sample_Prep)</t>
        </is>
      </c>
    </row>
    <row r="18">
      <c r="A18" s="3" t="inlineStr">
        <is>
          <t>Route 1 — Tg from thermal expansion (expansion probe, small static force)</t>
        </is>
      </c>
    </row>
    <row r="19" ht="58" customHeight="1">
      <c r="A19" s="11" t="inlineStr">
        <is>
          <t>Sample ID</t>
        </is>
      </c>
      <c r="B19" s="11" t="inlineStr">
        <is>
          <t>Cure temp (°C)</t>
        </is>
      </c>
      <c r="C19" s="11" t="inlineStr">
        <is>
          <t>Cure time (h)</t>
        </is>
      </c>
      <c r="D19" s="11" t="inlineStr">
        <is>
          <t>Thickness L0 (mm)</t>
        </is>
      </c>
      <c r="E19" s="11" t="inlineStr">
        <is>
          <t>Tg from instrument (°C, optional)</t>
        </is>
      </c>
      <c r="F19" s="11" t="inlineStr">
        <is>
          <t>T1 (°C)</t>
        </is>
      </c>
      <c r="G19" s="11" t="inlineStr">
        <is>
          <t>ΔL1 (µm)</t>
        </is>
      </c>
      <c r="H19" s="11" t="inlineStr">
        <is>
          <t>T2 (°C)</t>
        </is>
      </c>
      <c r="I19" s="11" t="inlineStr">
        <is>
          <t>ΔL2 (µm)</t>
        </is>
      </c>
      <c r="J19" s="11" t="inlineStr">
        <is>
          <t>T3 (°C)</t>
        </is>
      </c>
      <c r="K19" s="11" t="inlineStr">
        <is>
          <t>ΔL3 (µm)</t>
        </is>
      </c>
      <c r="L19" s="11" t="inlineStr">
        <is>
          <t>T4 (°C)</t>
        </is>
      </c>
      <c r="M19" s="11" t="inlineStr">
        <is>
          <t>ΔL4 (µm)</t>
        </is>
      </c>
      <c r="N19" s="11" t="inlineStr">
        <is>
          <t>CTE glassy (ppm/K)</t>
        </is>
      </c>
      <c r="O19" s="11" t="inlineStr">
        <is>
          <t>CTE rubbery (ppm/K)</t>
        </is>
      </c>
      <c r="P19" s="11" t="inlineStr">
        <is>
          <t>Tg from tangents (°C)</t>
        </is>
      </c>
      <c r="Q19" s="11" t="inlineStr">
        <is>
          <t>Tg used (°C)</t>
        </is>
      </c>
      <c r="R19" s="11" t="inlineStr">
        <is>
          <t>x = (Tg−Tg0)/(Tg∞−Tg0)</t>
        </is>
      </c>
      <c r="S19" s="11" t="inlineStr">
        <is>
          <t>α — DiBenedetto</t>
        </is>
      </c>
      <c r="T19" s="11" t="inlineStr">
        <is>
          <t>Notes</t>
        </is>
      </c>
      <c r="Y19" s="22" t="inlineStr">
        <is>
          <t>Figure — left: pick T1–T4 on the straight segments.  Right: two force points on the linear part give G.</t>
        </is>
      </c>
    </row>
    <row r="20">
      <c r="A20" s="17" t="inlineStr">
        <is>
          <t>S2</t>
        </is>
      </c>
      <c r="B20" s="27" t="n">
        <v>60</v>
      </c>
      <c r="C20" s="26" t="n">
        <v>8</v>
      </c>
      <c r="D20" s="28" t="n">
        <v>2</v>
      </c>
      <c r="E20" s="26" t="n"/>
      <c r="F20" s="26" t="n">
        <v>-90</v>
      </c>
      <c r="G20" s="24" t="n">
        <v>1.4</v>
      </c>
      <c r="H20" s="26" t="n">
        <v>-70</v>
      </c>
      <c r="I20" s="24" t="n">
        <v>4.2</v>
      </c>
      <c r="J20" s="26" t="n">
        <v>-20</v>
      </c>
      <c r="K20" s="24" t="n">
        <v>20.06</v>
      </c>
      <c r="L20" s="26" t="n">
        <v>0</v>
      </c>
      <c r="M20" s="24" t="n">
        <v>28.46</v>
      </c>
      <c r="N20" s="35">
        <f>IF(OR(D20="",F20="",G20="",H20="",I20=""),"",IFERROR((I20-G20)/(H20-F20)/D20*1000,""))</f>
        <v/>
      </c>
      <c r="O20" s="35">
        <f>IF(OR(D20="",J20="",K20="",L20="",M20=""),"",IFERROR((M20-K20)/(L20-J20)/D20*1000,""))</f>
        <v/>
      </c>
      <c r="P20" s="31">
        <f>IF(COUNT(F20:M20)&lt;8,"",IFERROR((K20-G20+(I20-G20)/(H20-F20)*F20-(M20-K20)/(L20-J20)*J20)/((I20-G20)/(H20-F20)-(M20-K20)/(L20-J20)),""))</f>
        <v/>
      </c>
      <c r="Q20" s="31">
        <f>IF(E20&lt;&gt;"",E20,P20)</f>
        <v/>
      </c>
      <c r="R20" s="30">
        <f>IF(Q20="","",(Q20-$B$13)/($B$14-$B$13))</f>
        <v/>
      </c>
      <c r="S20" s="20">
        <f>IF(OR(R20="",$B$15=""),"",R20/($B$15+R20*(1-$B$15)))</f>
        <v/>
      </c>
      <c r="T20" s="17" t="n"/>
    </row>
    <row r="21">
      <c r="A21" s="17" t="inlineStr">
        <is>
          <t>S3</t>
        </is>
      </c>
      <c r="B21" s="27" t="n">
        <v>60</v>
      </c>
      <c r="C21" s="26" t="n">
        <v>24</v>
      </c>
      <c r="D21" s="28" t="n">
        <v>2</v>
      </c>
      <c r="E21" s="26" t="n"/>
      <c r="F21" s="26" t="n">
        <v>-90</v>
      </c>
      <c r="G21" s="24" t="n">
        <v>1.4</v>
      </c>
      <c r="H21" s="26" t="n">
        <v>-70</v>
      </c>
      <c r="I21" s="24" t="n">
        <v>4.2</v>
      </c>
      <c r="J21" s="26" t="n">
        <v>-20</v>
      </c>
      <c r="K21" s="24" t="n">
        <v>17.69</v>
      </c>
      <c r="L21" s="26" t="n">
        <v>0</v>
      </c>
      <c r="M21" s="24" t="n">
        <v>25.49</v>
      </c>
      <c r="N21" s="35">
        <f>IF(OR(D21="",F21="",G21="",H21="",I21=""),"",IFERROR((I21-G21)/(H21-F21)/D21*1000,""))</f>
        <v/>
      </c>
      <c r="O21" s="35">
        <f>IF(OR(D21="",J21="",K21="",L21="",M21=""),"",IFERROR((M21-K21)/(L21-J21)/D21*1000,""))</f>
        <v/>
      </c>
      <c r="P21" s="31">
        <f>IF(COUNT(F21:M21)&lt;8,"",IFERROR((K21-G21+(I21-G21)/(H21-F21)*F21-(M21-K21)/(L21-J21)*J21)/((I21-G21)/(H21-F21)-(M21-K21)/(L21-J21)),""))</f>
        <v/>
      </c>
      <c r="Q21" s="31">
        <f>IF(E21&lt;&gt;"",E21,P21)</f>
        <v/>
      </c>
      <c r="R21" s="30">
        <f>IF(Q21="","",(Q21-$B$13)/($B$14-$B$13))</f>
        <v/>
      </c>
      <c r="S21" s="20">
        <f>IF(OR(R21="",$B$15=""),"",R21/($B$15+R21*(1-$B$15)))</f>
        <v/>
      </c>
      <c r="T21" s="17" t="n"/>
    </row>
    <row r="22">
      <c r="A22" s="17" t="inlineStr">
        <is>
          <t>S4</t>
        </is>
      </c>
      <c r="B22" s="27" t="n">
        <v>60</v>
      </c>
      <c r="C22" s="26" t="n">
        <v>72</v>
      </c>
      <c r="D22" s="28" t="n">
        <v>2</v>
      </c>
      <c r="E22" s="26" t="n"/>
      <c r="F22" s="26" t="n">
        <v>-90</v>
      </c>
      <c r="G22" s="24" t="n">
        <v>1.4</v>
      </c>
      <c r="H22" s="26" t="n">
        <v>-70</v>
      </c>
      <c r="I22" s="24" t="n">
        <v>4.2</v>
      </c>
      <c r="J22" s="26" t="n">
        <v>-20</v>
      </c>
      <c r="K22" s="24" t="n">
        <v>16.4</v>
      </c>
      <c r="L22" s="26" t="n">
        <v>0</v>
      </c>
      <c r="M22" s="24" t="n">
        <v>23.8</v>
      </c>
      <c r="N22" s="35">
        <f>IF(OR(D22="",F22="",G22="",H22="",I22=""),"",IFERROR((I22-G22)/(H22-F22)/D22*1000,""))</f>
        <v/>
      </c>
      <c r="O22" s="35">
        <f>IF(OR(D22="",J22="",K22="",L22="",M22=""),"",IFERROR((M22-K22)/(L22-J22)/D22*1000,""))</f>
        <v/>
      </c>
      <c r="P22" s="31">
        <f>IF(COUNT(F22:M22)&lt;8,"",IFERROR((K22-G22+(I22-G22)/(H22-F22)*F22-(M22-K22)/(L22-J22)*J22)/((I22-G22)/(H22-F22)-(M22-K22)/(L22-J22)),""))</f>
        <v/>
      </c>
      <c r="Q22" s="31">
        <f>IF(E22&lt;&gt;"",E22,P22)</f>
        <v/>
      </c>
      <c r="R22" s="30">
        <f>IF(Q22="","",(Q22-$B$13)/($B$14-$B$13))</f>
        <v/>
      </c>
      <c r="S22" s="20">
        <f>IF(OR(R22="",$B$15=""),"",R22/($B$15+R22*(1-$B$15)))</f>
        <v/>
      </c>
      <c r="T22" s="17" t="n"/>
    </row>
    <row r="23">
      <c r="A23" s="17" t="n"/>
      <c r="B23" s="27" t="n"/>
      <c r="C23" s="26" t="n"/>
      <c r="D23" s="28" t="n"/>
      <c r="E23" s="26" t="n"/>
      <c r="F23" s="26" t="n"/>
      <c r="G23" s="24" t="n"/>
      <c r="H23" s="26" t="n"/>
      <c r="I23" s="24" t="n"/>
      <c r="J23" s="26" t="n"/>
      <c r="K23" s="24" t="n"/>
      <c r="L23" s="26" t="n"/>
      <c r="M23" s="24" t="n"/>
      <c r="N23" s="35">
        <f>IF(OR(D23="",F23="",G23="",H23="",I23=""),"",IFERROR((I23-G23)/(H23-F23)/D23*1000,""))</f>
        <v/>
      </c>
      <c r="O23" s="35">
        <f>IF(OR(D23="",J23="",K23="",L23="",M23=""),"",IFERROR((M23-K23)/(L23-J23)/D23*1000,""))</f>
        <v/>
      </c>
      <c r="P23" s="31">
        <f>IF(COUNT(F23:M23)&lt;8,"",IFERROR((K23-G23+(I23-G23)/(H23-F23)*F23-(M23-K23)/(L23-J23)*J23)/((I23-G23)/(H23-F23)-(M23-K23)/(L23-J23)),""))</f>
        <v/>
      </c>
      <c r="Q23" s="31">
        <f>IF(E23&lt;&gt;"",E23,P23)</f>
        <v/>
      </c>
      <c r="R23" s="30">
        <f>IF(Q23="","",(Q23-$B$13)/($B$14-$B$13))</f>
        <v/>
      </c>
      <c r="S23" s="20">
        <f>IF(OR(R23="",$B$15=""),"",R23/($B$15+R23*(1-$B$15)))</f>
        <v/>
      </c>
      <c r="T23" s="17" t="n"/>
    </row>
    <row r="24">
      <c r="A24" s="17" t="n"/>
      <c r="B24" s="27" t="n"/>
      <c r="C24" s="26" t="n"/>
      <c r="D24" s="28" t="n"/>
      <c r="E24" s="26" t="n"/>
      <c r="F24" s="26" t="n"/>
      <c r="G24" s="24" t="n"/>
      <c r="H24" s="26" t="n"/>
      <c r="I24" s="24" t="n"/>
      <c r="J24" s="26" t="n"/>
      <c r="K24" s="24" t="n"/>
      <c r="L24" s="26" t="n"/>
      <c r="M24" s="24" t="n"/>
      <c r="N24" s="35">
        <f>IF(OR(D24="",F24="",G24="",H24="",I24=""),"",IFERROR((I24-G24)/(H24-F24)/D24*1000,""))</f>
        <v/>
      </c>
      <c r="O24" s="35">
        <f>IF(OR(D24="",J24="",K24="",L24="",M24=""),"",IFERROR((M24-K24)/(L24-J24)/D24*1000,""))</f>
        <v/>
      </c>
      <c r="P24" s="31">
        <f>IF(COUNT(F24:M24)&lt;8,"",IFERROR((K24-G24+(I24-G24)/(H24-F24)*F24-(M24-K24)/(L24-J24)*J24)/((I24-G24)/(H24-F24)-(M24-K24)/(L24-J24)),""))</f>
        <v/>
      </c>
      <c r="Q24" s="31">
        <f>IF(E24&lt;&gt;"",E24,P24)</f>
        <v/>
      </c>
      <c r="R24" s="30">
        <f>IF(Q24="","",(Q24-$B$13)/($B$14-$B$13))</f>
        <v/>
      </c>
      <c r="S24" s="20">
        <f>IF(OR(R24="",$B$15=""),"",R24/($B$15+R24*(1-$B$15)))</f>
        <v/>
      </c>
      <c r="T24" s="17" t="n"/>
    </row>
    <row r="25">
      <c r="A25" s="17" t="n"/>
      <c r="B25" s="27" t="n"/>
      <c r="C25" s="26" t="n"/>
      <c r="D25" s="28" t="n"/>
      <c r="E25" s="26" t="n"/>
      <c r="F25" s="26" t="n"/>
      <c r="G25" s="24" t="n"/>
      <c r="H25" s="26" t="n"/>
      <c r="I25" s="24" t="n"/>
      <c r="J25" s="26" t="n"/>
      <c r="K25" s="24" t="n"/>
      <c r="L25" s="26" t="n"/>
      <c r="M25" s="24" t="n"/>
      <c r="N25" s="35">
        <f>IF(OR(D25="",F25="",G25="",H25="",I25=""),"",IFERROR((I25-G25)/(H25-F25)/D25*1000,""))</f>
        <v/>
      </c>
      <c r="O25" s="35">
        <f>IF(OR(D25="",J25="",K25="",L25="",M25=""),"",IFERROR((M25-K25)/(L25-J25)/D25*1000,""))</f>
        <v/>
      </c>
      <c r="P25" s="31">
        <f>IF(COUNT(F25:M25)&lt;8,"",IFERROR((K25-G25+(I25-G25)/(H25-F25)*F25-(M25-K25)/(L25-J25)*J25)/((I25-G25)/(H25-F25)-(M25-K25)/(L25-J25)),""))</f>
        <v/>
      </c>
      <c r="Q25" s="31">
        <f>IF(E25&lt;&gt;"",E25,P25)</f>
        <v/>
      </c>
      <c r="R25" s="30">
        <f>IF(Q25="","",(Q25-$B$13)/($B$14-$B$13))</f>
        <v/>
      </c>
      <c r="S25" s="20">
        <f>IF(OR(R25="",$B$15=""),"",R25/($B$15+R25*(1-$B$15)))</f>
        <v/>
      </c>
      <c r="T25" s="17" t="n"/>
    </row>
    <row r="26">
      <c r="A26" s="17" t="n"/>
      <c r="B26" s="27" t="n"/>
      <c r="C26" s="26" t="n"/>
      <c r="D26" s="28" t="n"/>
      <c r="E26" s="26" t="n"/>
      <c r="F26" s="26" t="n"/>
      <c r="G26" s="24" t="n"/>
      <c r="H26" s="26" t="n"/>
      <c r="I26" s="24" t="n"/>
      <c r="J26" s="26" t="n"/>
      <c r="K26" s="24" t="n"/>
      <c r="L26" s="26" t="n"/>
      <c r="M26" s="24" t="n"/>
      <c r="N26" s="35">
        <f>IF(OR(D26="",F26="",G26="",H26="",I26=""),"",IFERROR((I26-G26)/(H26-F26)/D26*1000,""))</f>
        <v/>
      </c>
      <c r="O26" s="35">
        <f>IF(OR(D26="",J26="",K26="",L26="",M26=""),"",IFERROR((M26-K26)/(L26-J26)/D26*1000,""))</f>
        <v/>
      </c>
      <c r="P26" s="31">
        <f>IF(COUNT(F26:M26)&lt;8,"",IFERROR((K26-G26+(I26-G26)/(H26-F26)*F26-(M26-K26)/(L26-J26)*J26)/((I26-G26)/(H26-F26)-(M26-K26)/(L26-J26)),""))</f>
        <v/>
      </c>
      <c r="Q26" s="31">
        <f>IF(E26&lt;&gt;"",E26,P26)</f>
        <v/>
      </c>
      <c r="R26" s="30">
        <f>IF(Q26="","",(Q26-$B$13)/($B$14-$B$13))</f>
        <v/>
      </c>
      <c r="S26" s="20">
        <f>IF(OR(R26="",$B$15=""),"",R26/($B$15+R26*(1-$B$15)))</f>
        <v/>
      </c>
      <c r="T26" s="17" t="n"/>
    </row>
    <row r="27">
      <c r="A27" s="17" t="n"/>
      <c r="B27" s="27" t="n"/>
      <c r="C27" s="26" t="n"/>
      <c r="D27" s="28" t="n"/>
      <c r="E27" s="26" t="n"/>
      <c r="F27" s="26" t="n"/>
      <c r="G27" s="24" t="n"/>
      <c r="H27" s="26" t="n"/>
      <c r="I27" s="24" t="n"/>
      <c r="J27" s="26" t="n"/>
      <c r="K27" s="24" t="n"/>
      <c r="L27" s="26" t="n"/>
      <c r="M27" s="24" t="n"/>
      <c r="N27" s="35">
        <f>IF(OR(D27="",F27="",G27="",H27="",I27=""),"",IFERROR((I27-G27)/(H27-F27)/D27*1000,""))</f>
        <v/>
      </c>
      <c r="O27" s="35">
        <f>IF(OR(D27="",J27="",K27="",L27="",M27=""),"",IFERROR((M27-K27)/(L27-J27)/D27*1000,""))</f>
        <v/>
      </c>
      <c r="P27" s="31">
        <f>IF(COUNT(F27:M27)&lt;8,"",IFERROR((K27-G27+(I27-G27)/(H27-F27)*F27-(M27-K27)/(L27-J27)*J27)/((I27-G27)/(H27-F27)-(M27-K27)/(L27-J27)),""))</f>
        <v/>
      </c>
      <c r="Q27" s="31">
        <f>IF(E27&lt;&gt;"",E27,P27)</f>
        <v/>
      </c>
      <c r="R27" s="30">
        <f>IF(Q27="","",(Q27-$B$13)/($B$14-$B$13))</f>
        <v/>
      </c>
      <c r="S27" s="20">
        <f>IF(OR(R27="",$B$15=""),"",R27/($B$15+R27*(1-$B$15)))</f>
        <v/>
      </c>
      <c r="T27" s="17" t="n"/>
    </row>
    <row r="28">
      <c r="A28" s="17" t="n"/>
      <c r="B28" s="27" t="n"/>
      <c r="C28" s="26" t="n"/>
      <c r="D28" s="28" t="n"/>
      <c r="E28" s="26" t="n"/>
      <c r="F28" s="26" t="n"/>
      <c r="G28" s="24" t="n"/>
      <c r="H28" s="26" t="n"/>
      <c r="I28" s="24" t="n"/>
      <c r="J28" s="26" t="n"/>
      <c r="K28" s="24" t="n"/>
      <c r="L28" s="26" t="n"/>
      <c r="M28" s="24" t="n"/>
      <c r="N28" s="35">
        <f>IF(OR(D28="",F28="",G28="",H28="",I28=""),"",IFERROR((I28-G28)/(H28-F28)/D28*1000,""))</f>
        <v/>
      </c>
      <c r="O28" s="35">
        <f>IF(OR(D28="",J28="",K28="",L28="",M28=""),"",IFERROR((M28-K28)/(L28-J28)/D28*1000,""))</f>
        <v/>
      </c>
      <c r="P28" s="31">
        <f>IF(COUNT(F28:M28)&lt;8,"",IFERROR((K28-G28+(I28-G28)/(H28-F28)*F28-(M28-K28)/(L28-J28)*J28)/((I28-G28)/(H28-F28)-(M28-K28)/(L28-J28)),""))</f>
        <v/>
      </c>
      <c r="Q28" s="31">
        <f>IF(E28&lt;&gt;"",E28,P28)</f>
        <v/>
      </c>
      <c r="R28" s="30">
        <f>IF(Q28="","",(Q28-$B$13)/($B$14-$B$13))</f>
        <v/>
      </c>
      <c r="S28" s="20">
        <f>IF(OR(R28="",$B$15=""),"",R28/($B$15+R28*(1-$B$15)))</f>
        <v/>
      </c>
      <c r="T28" s="17" t="n"/>
    </row>
    <row r="29">
      <c r="A29" s="17" t="n"/>
      <c r="B29" s="27" t="n"/>
      <c r="C29" s="26" t="n"/>
      <c r="D29" s="28" t="n"/>
      <c r="E29" s="26" t="n"/>
      <c r="F29" s="26" t="n"/>
      <c r="G29" s="24" t="n"/>
      <c r="H29" s="26" t="n"/>
      <c r="I29" s="24" t="n"/>
      <c r="J29" s="26" t="n"/>
      <c r="K29" s="24" t="n"/>
      <c r="L29" s="26" t="n"/>
      <c r="M29" s="24" t="n"/>
      <c r="N29" s="35">
        <f>IF(OR(D29="",F29="",G29="",H29="",I29=""),"",IFERROR((I29-G29)/(H29-F29)/D29*1000,""))</f>
        <v/>
      </c>
      <c r="O29" s="35">
        <f>IF(OR(D29="",J29="",K29="",L29="",M29=""),"",IFERROR((M29-K29)/(L29-J29)/D29*1000,""))</f>
        <v/>
      </c>
      <c r="P29" s="31">
        <f>IF(COUNT(F29:M29)&lt;8,"",IFERROR((K29-G29+(I29-G29)/(H29-F29)*F29-(M29-K29)/(L29-J29)*J29)/((I29-G29)/(H29-F29)-(M29-K29)/(L29-J29)),""))</f>
        <v/>
      </c>
      <c r="Q29" s="31">
        <f>IF(E29&lt;&gt;"",E29,P29)</f>
        <v/>
      </c>
      <c r="R29" s="30">
        <f>IF(Q29="","",(Q29-$B$13)/($B$14-$B$13))</f>
        <v/>
      </c>
      <c r="S29" s="20">
        <f>IF(OR(R29="",$B$15=""),"",R29/($B$15+R29*(1-$B$15)))</f>
        <v/>
      </c>
      <c r="T29" s="17" t="n"/>
    </row>
    <row r="30">
      <c r="A30" s="17" t="n"/>
      <c r="B30" s="27" t="n"/>
      <c r="C30" s="26" t="n"/>
      <c r="D30" s="28" t="n"/>
      <c r="E30" s="26" t="n"/>
      <c r="F30" s="26" t="n"/>
      <c r="G30" s="24" t="n"/>
      <c r="H30" s="26" t="n"/>
      <c r="I30" s="24" t="n"/>
      <c r="J30" s="26" t="n"/>
      <c r="K30" s="24" t="n"/>
      <c r="L30" s="26" t="n"/>
      <c r="M30" s="24" t="n"/>
      <c r="N30" s="35">
        <f>IF(OR(D30="",F30="",G30="",H30="",I30=""),"",IFERROR((I30-G30)/(H30-F30)/D30*1000,""))</f>
        <v/>
      </c>
      <c r="O30" s="35">
        <f>IF(OR(D30="",J30="",K30="",L30="",M30=""),"",IFERROR((M30-K30)/(L30-J30)/D30*1000,""))</f>
        <v/>
      </c>
      <c r="P30" s="31">
        <f>IF(COUNT(F30:M30)&lt;8,"",IFERROR((K30-G30+(I30-G30)/(H30-F30)*F30-(M30-K30)/(L30-J30)*J30)/((I30-G30)/(H30-F30)-(M30-K30)/(L30-J30)),""))</f>
        <v/>
      </c>
      <c r="Q30" s="31">
        <f>IF(E30&lt;&gt;"",E30,P30)</f>
        <v/>
      </c>
      <c r="R30" s="30">
        <f>IF(Q30="","",(Q30-$B$13)/($B$14-$B$13))</f>
        <v/>
      </c>
      <c r="S30" s="20">
        <f>IF(OR(R30="",$B$15=""),"",R30/($B$15+R30*(1-$B$15)))</f>
        <v/>
      </c>
      <c r="T30" s="17" t="n"/>
    </row>
    <row r="31">
      <c r="A31" s="17" t="n"/>
      <c r="B31" s="27" t="n"/>
      <c r="C31" s="26" t="n"/>
      <c r="D31" s="28" t="n"/>
      <c r="E31" s="26" t="n"/>
      <c r="F31" s="26" t="n"/>
      <c r="G31" s="24" t="n"/>
      <c r="H31" s="26" t="n"/>
      <c r="I31" s="24" t="n"/>
      <c r="J31" s="26" t="n"/>
      <c r="K31" s="24" t="n"/>
      <c r="L31" s="26" t="n"/>
      <c r="M31" s="24" t="n"/>
      <c r="N31" s="35">
        <f>IF(OR(D31="",F31="",G31="",H31="",I31=""),"",IFERROR((I31-G31)/(H31-F31)/D31*1000,""))</f>
        <v/>
      </c>
      <c r="O31" s="35">
        <f>IF(OR(D31="",J31="",K31="",L31="",M31=""),"",IFERROR((M31-K31)/(L31-J31)/D31*1000,""))</f>
        <v/>
      </c>
      <c r="P31" s="31">
        <f>IF(COUNT(F31:M31)&lt;8,"",IFERROR((K31-G31+(I31-G31)/(H31-F31)*F31-(M31-K31)/(L31-J31)*J31)/((I31-G31)/(H31-F31)-(M31-K31)/(L31-J31)),""))</f>
        <v/>
      </c>
      <c r="Q31" s="31">
        <f>IF(E31&lt;&gt;"",E31,P31)</f>
        <v/>
      </c>
      <c r="R31" s="30">
        <f>IF(Q31="","",(Q31-$B$13)/($B$14-$B$13))</f>
        <v/>
      </c>
      <c r="S31" s="20">
        <f>IF(OR(R31="",$B$15=""),"",R31/($B$15+R31*(1-$B$15)))</f>
        <v/>
      </c>
      <c r="T31" s="17" t="n"/>
    </row>
    <row r="32">
      <c r="A32" s="17" t="n"/>
      <c r="B32" s="27" t="n"/>
      <c r="C32" s="26" t="n"/>
      <c r="D32" s="28" t="n"/>
      <c r="E32" s="26" t="n"/>
      <c r="F32" s="26" t="n"/>
      <c r="G32" s="24" t="n"/>
      <c r="H32" s="26" t="n"/>
      <c r="I32" s="24" t="n"/>
      <c r="J32" s="26" t="n"/>
      <c r="K32" s="24" t="n"/>
      <c r="L32" s="26" t="n"/>
      <c r="M32" s="24" t="n"/>
      <c r="N32" s="35">
        <f>IF(OR(D32="",F32="",G32="",H32="",I32=""),"",IFERROR((I32-G32)/(H32-F32)/D32*1000,""))</f>
        <v/>
      </c>
      <c r="O32" s="35">
        <f>IF(OR(D32="",J32="",K32="",L32="",M32=""),"",IFERROR((M32-K32)/(L32-J32)/D32*1000,""))</f>
        <v/>
      </c>
      <c r="P32" s="31">
        <f>IF(COUNT(F32:M32)&lt;8,"",IFERROR((K32-G32+(I32-G32)/(H32-F32)*F32-(M32-K32)/(L32-J32)*J32)/((I32-G32)/(H32-F32)-(M32-K32)/(L32-J32)),""))</f>
        <v/>
      </c>
      <c r="Q32" s="31">
        <f>IF(E32&lt;&gt;"",E32,P32)</f>
        <v/>
      </c>
      <c r="R32" s="30">
        <f>IF(Q32="","",(Q32-$B$13)/($B$14-$B$13))</f>
        <v/>
      </c>
      <c r="S32" s="20">
        <f>IF(OR(R32="",$B$15=""),"",R32/($B$15+R32*(1-$B$15)))</f>
        <v/>
      </c>
      <c r="T32" s="17" t="n"/>
    </row>
    <row r="33">
      <c r="A33" s="17" t="n"/>
      <c r="B33" s="27" t="n"/>
      <c r="C33" s="26" t="n"/>
      <c r="D33" s="28" t="n"/>
      <c r="E33" s="26" t="n"/>
      <c r="F33" s="26" t="n"/>
      <c r="G33" s="24" t="n"/>
      <c r="H33" s="26" t="n"/>
      <c r="I33" s="24" t="n"/>
      <c r="J33" s="26" t="n"/>
      <c r="K33" s="24" t="n"/>
      <c r="L33" s="26" t="n"/>
      <c r="M33" s="24" t="n"/>
      <c r="N33" s="35">
        <f>IF(OR(D33="",F33="",G33="",H33="",I33=""),"",IFERROR((I33-G33)/(H33-F33)/D33*1000,""))</f>
        <v/>
      </c>
      <c r="O33" s="35">
        <f>IF(OR(D33="",J33="",K33="",L33="",M33=""),"",IFERROR((M33-K33)/(L33-J33)/D33*1000,""))</f>
        <v/>
      </c>
      <c r="P33" s="31">
        <f>IF(COUNT(F33:M33)&lt;8,"",IFERROR((K33-G33+(I33-G33)/(H33-F33)*F33-(M33-K33)/(L33-J33)*J33)/((I33-G33)/(H33-F33)-(M33-K33)/(L33-J33)),""))</f>
        <v/>
      </c>
      <c r="Q33" s="31">
        <f>IF(E33&lt;&gt;"",E33,P33)</f>
        <v/>
      </c>
      <c r="R33" s="30">
        <f>IF(Q33="","",(Q33-$B$13)/($B$14-$B$13))</f>
        <v/>
      </c>
      <c r="S33" s="20">
        <f>IF(OR(R33="",$B$15=""),"",R33/($B$15+R33*(1-$B$15)))</f>
        <v/>
      </c>
      <c r="T33" s="17" t="n"/>
    </row>
    <row r="34">
      <c r="A34" s="17" t="n"/>
      <c r="B34" s="27" t="n"/>
      <c r="C34" s="26" t="n"/>
      <c r="D34" s="28" t="n"/>
      <c r="E34" s="26" t="n"/>
      <c r="F34" s="26" t="n"/>
      <c r="G34" s="24" t="n"/>
      <c r="H34" s="26" t="n"/>
      <c r="I34" s="24" t="n"/>
      <c r="J34" s="26" t="n"/>
      <c r="K34" s="24" t="n"/>
      <c r="L34" s="26" t="n"/>
      <c r="M34" s="24" t="n"/>
      <c r="N34" s="35">
        <f>IF(OR(D34="",F34="",G34="",H34="",I34=""),"",IFERROR((I34-G34)/(H34-F34)/D34*1000,""))</f>
        <v/>
      </c>
      <c r="O34" s="35">
        <f>IF(OR(D34="",J34="",K34="",L34="",M34=""),"",IFERROR((M34-K34)/(L34-J34)/D34*1000,""))</f>
        <v/>
      </c>
      <c r="P34" s="31">
        <f>IF(COUNT(F34:M34)&lt;8,"",IFERROR((K34-G34+(I34-G34)/(H34-F34)*F34-(M34-K34)/(L34-J34)*J34)/((I34-G34)/(H34-F34)-(M34-K34)/(L34-J34)),""))</f>
        <v/>
      </c>
      <c r="Q34" s="31">
        <f>IF(E34&lt;&gt;"",E34,P34)</f>
        <v/>
      </c>
      <c r="R34" s="30">
        <f>IF(Q34="","",(Q34-$B$13)/($B$14-$B$13))</f>
        <v/>
      </c>
      <c r="S34" s="20">
        <f>IF(OR(R34="",$B$15=""),"",R34/($B$15+R34*(1-$B$15)))</f>
        <v/>
      </c>
      <c r="T34" s="17" t="n"/>
    </row>
    <row r="35">
      <c r="A35" s="17" t="n"/>
      <c r="B35" s="27" t="n"/>
      <c r="C35" s="26" t="n"/>
      <c r="D35" s="28" t="n"/>
      <c r="E35" s="26" t="n"/>
      <c r="F35" s="26" t="n"/>
      <c r="G35" s="24" t="n"/>
      <c r="H35" s="26" t="n"/>
      <c r="I35" s="24" t="n"/>
      <c r="J35" s="26" t="n"/>
      <c r="K35" s="24" t="n"/>
      <c r="L35" s="26" t="n"/>
      <c r="M35" s="24" t="n"/>
      <c r="N35" s="35">
        <f>IF(OR(D35="",F35="",G35="",H35="",I35=""),"",IFERROR((I35-G35)/(H35-F35)/D35*1000,""))</f>
        <v/>
      </c>
      <c r="O35" s="35">
        <f>IF(OR(D35="",J35="",K35="",L35="",M35=""),"",IFERROR((M35-K35)/(L35-J35)/D35*1000,""))</f>
        <v/>
      </c>
      <c r="P35" s="31">
        <f>IF(COUNT(F35:M35)&lt;8,"",IFERROR((K35-G35+(I35-G35)/(H35-F35)*F35-(M35-K35)/(L35-J35)*J35)/((I35-G35)/(H35-F35)-(M35-K35)/(L35-J35)),""))</f>
        <v/>
      </c>
      <c r="Q35" s="31">
        <f>IF(E35&lt;&gt;"",E35,P35)</f>
        <v/>
      </c>
      <c r="R35" s="30">
        <f>IF(Q35="","",(Q35-$B$13)/($B$14-$B$13))</f>
        <v/>
      </c>
      <c r="S35" s="20">
        <f>IF(OR(R35="",$B$15=""),"",R35/($B$15+R35*(1-$B$15)))</f>
        <v/>
      </c>
      <c r="T35" s="17" t="n"/>
    </row>
    <row r="36">
      <c r="A36" s="17" t="n"/>
      <c r="B36" s="27" t="n"/>
      <c r="C36" s="26" t="n"/>
      <c r="D36" s="28" t="n"/>
      <c r="E36" s="26" t="n"/>
      <c r="F36" s="26" t="n"/>
      <c r="G36" s="24" t="n"/>
      <c r="H36" s="26" t="n"/>
      <c r="I36" s="24" t="n"/>
      <c r="J36" s="26" t="n"/>
      <c r="K36" s="24" t="n"/>
      <c r="L36" s="26" t="n"/>
      <c r="M36" s="24" t="n"/>
      <c r="N36" s="35">
        <f>IF(OR(D36="",F36="",G36="",H36="",I36=""),"",IFERROR((I36-G36)/(H36-F36)/D36*1000,""))</f>
        <v/>
      </c>
      <c r="O36" s="35">
        <f>IF(OR(D36="",J36="",K36="",L36="",M36=""),"",IFERROR((M36-K36)/(L36-J36)/D36*1000,""))</f>
        <v/>
      </c>
      <c r="P36" s="31">
        <f>IF(COUNT(F36:M36)&lt;8,"",IFERROR((K36-G36+(I36-G36)/(H36-F36)*F36-(M36-K36)/(L36-J36)*J36)/((I36-G36)/(H36-F36)-(M36-K36)/(L36-J36)),""))</f>
        <v/>
      </c>
      <c r="Q36" s="31">
        <f>IF(E36&lt;&gt;"",E36,P36)</f>
        <v/>
      </c>
      <c r="R36" s="30">
        <f>IF(Q36="","",(Q36-$B$13)/($B$14-$B$13))</f>
        <v/>
      </c>
      <c r="S36" s="20">
        <f>IF(OR(R36="",$B$15=""),"",R36/($B$15+R36*(1-$B$15)))</f>
        <v/>
      </c>
      <c r="T36" s="17" t="n"/>
    </row>
    <row r="37">
      <c r="A37" s="17" t="n"/>
      <c r="B37" s="27" t="n"/>
      <c r="C37" s="26" t="n"/>
      <c r="D37" s="28" t="n"/>
      <c r="E37" s="26" t="n"/>
      <c r="F37" s="26" t="n"/>
      <c r="G37" s="24" t="n"/>
      <c r="H37" s="26" t="n"/>
      <c r="I37" s="24" t="n"/>
      <c r="J37" s="26" t="n"/>
      <c r="K37" s="24" t="n"/>
      <c r="L37" s="26" t="n"/>
      <c r="M37" s="24" t="n"/>
      <c r="N37" s="35">
        <f>IF(OR(D37="",F37="",G37="",H37="",I37=""),"",IFERROR((I37-G37)/(H37-F37)/D37*1000,""))</f>
        <v/>
      </c>
      <c r="O37" s="35">
        <f>IF(OR(D37="",J37="",K37="",L37="",M37=""),"",IFERROR((M37-K37)/(L37-J37)/D37*1000,""))</f>
        <v/>
      </c>
      <c r="P37" s="31">
        <f>IF(COUNT(F37:M37)&lt;8,"",IFERROR((K37-G37+(I37-G37)/(H37-F37)*F37-(M37-K37)/(L37-J37)*J37)/((I37-G37)/(H37-F37)-(M37-K37)/(L37-J37)),""))</f>
        <v/>
      </c>
      <c r="Q37" s="31">
        <f>IF(E37&lt;&gt;"",E37,P37)</f>
        <v/>
      </c>
      <c r="R37" s="30">
        <f>IF(Q37="","",(Q37-$B$13)/($B$14-$B$13))</f>
        <v/>
      </c>
      <c r="S37" s="20">
        <f>IF(OR(R37="",$B$15=""),"",R37/($B$15+R37*(1-$B$15)))</f>
        <v/>
      </c>
      <c r="T37" s="17" t="n"/>
    </row>
    <row r="38">
      <c r="A38" s="17" t="n"/>
      <c r="B38" s="27" t="n"/>
      <c r="C38" s="26" t="n"/>
      <c r="D38" s="28" t="n"/>
      <c r="E38" s="26" t="n"/>
      <c r="F38" s="26" t="n"/>
      <c r="G38" s="24" t="n"/>
      <c r="H38" s="26" t="n"/>
      <c r="I38" s="24" t="n"/>
      <c r="J38" s="26" t="n"/>
      <c r="K38" s="24" t="n"/>
      <c r="L38" s="26" t="n"/>
      <c r="M38" s="24" t="n"/>
      <c r="N38" s="35">
        <f>IF(OR(D38="",F38="",G38="",H38="",I38=""),"",IFERROR((I38-G38)/(H38-F38)/D38*1000,""))</f>
        <v/>
      </c>
      <c r="O38" s="35">
        <f>IF(OR(D38="",J38="",K38="",L38="",M38=""),"",IFERROR((M38-K38)/(L38-J38)/D38*1000,""))</f>
        <v/>
      </c>
      <c r="P38" s="31">
        <f>IF(COUNT(F38:M38)&lt;8,"",IFERROR((K38-G38+(I38-G38)/(H38-F38)*F38-(M38-K38)/(L38-J38)*J38)/((I38-G38)/(H38-F38)-(M38-K38)/(L38-J38)),""))</f>
        <v/>
      </c>
      <c r="Q38" s="31">
        <f>IF(E38&lt;&gt;"",E38,P38)</f>
        <v/>
      </c>
      <c r="R38" s="30">
        <f>IF(Q38="","",(Q38-$B$13)/($B$14-$B$13))</f>
        <v/>
      </c>
      <c r="S38" s="20">
        <f>IF(OR(R38="",$B$15=""),"",R38/($B$15+R38*(1-$B$15)))</f>
        <v/>
      </c>
      <c r="T38" s="17" t="n"/>
    </row>
    <row r="39">
      <c r="A39" s="17" t="n"/>
      <c r="B39" s="27" t="n"/>
      <c r="C39" s="26" t="n"/>
      <c r="D39" s="28" t="n"/>
      <c r="E39" s="26" t="n"/>
      <c r="F39" s="26" t="n"/>
      <c r="G39" s="24" t="n"/>
      <c r="H39" s="26" t="n"/>
      <c r="I39" s="24" t="n"/>
      <c r="J39" s="26" t="n"/>
      <c r="K39" s="24" t="n"/>
      <c r="L39" s="26" t="n"/>
      <c r="M39" s="24" t="n"/>
      <c r="N39" s="35">
        <f>IF(OR(D39="",F39="",G39="",H39="",I39=""),"",IFERROR((I39-G39)/(H39-F39)/D39*1000,""))</f>
        <v/>
      </c>
      <c r="O39" s="35">
        <f>IF(OR(D39="",J39="",K39="",L39="",M39=""),"",IFERROR((M39-K39)/(L39-J39)/D39*1000,""))</f>
        <v/>
      </c>
      <c r="P39" s="31">
        <f>IF(COUNT(F39:M39)&lt;8,"",IFERROR((K39-G39+(I39-G39)/(H39-F39)*F39-(M39-K39)/(L39-J39)*J39)/((I39-G39)/(H39-F39)-(M39-K39)/(L39-J39)),""))</f>
        <v/>
      </c>
      <c r="Q39" s="31">
        <f>IF(E39&lt;&gt;"",E39,P39)</f>
        <v/>
      </c>
      <c r="R39" s="30">
        <f>IF(Q39="","",(Q39-$B$13)/($B$14-$B$13))</f>
        <v/>
      </c>
      <c r="S39" s="20">
        <f>IF(OR(R39="",$B$15=""),"",R39/($B$15+R39*(1-$B$15)))</f>
        <v/>
      </c>
      <c r="T39" s="17" t="n"/>
    </row>
    <row r="41">
      <c r="A41" s="3" t="inlineStr">
        <is>
          <t>Route 2 — rubbery compression modulus (flat probe, lubricated faces, T ≥ Tg + 30 °C)</t>
        </is>
      </c>
    </row>
    <row r="42" ht="58" customHeight="1">
      <c r="A42" s="11" t="inlineStr">
        <is>
          <t>Sample ID</t>
        </is>
      </c>
      <c r="B42" s="11" t="inlineStr">
        <is>
          <t>Cure temp (°C)</t>
        </is>
      </c>
      <c r="C42" s="11" t="inlineStr">
        <is>
          <t>Cure time (h)</t>
        </is>
      </c>
      <c r="D42" s="11" t="inlineStr">
        <is>
          <t>Test T (°C)</t>
        </is>
      </c>
      <c r="E42" s="11" t="inlineStr">
        <is>
          <t>Thickness L0 (mm)</t>
        </is>
      </c>
      <c r="F42" s="11" t="inlineStr">
        <is>
          <t>Diameter (mm)</t>
        </is>
      </c>
      <c r="G42" s="11" t="inlineStr">
        <is>
          <t>Force 1 (N)</t>
        </is>
      </c>
      <c r="H42" s="11" t="inlineStr">
        <is>
          <t>Deformation 1 (µm)</t>
        </is>
      </c>
      <c r="I42" s="11" t="inlineStr">
        <is>
          <t>Force 2 (N)</t>
        </is>
      </c>
      <c r="J42" s="11" t="inlineStr">
        <is>
          <t>Deformation 2 (µm)</t>
        </is>
      </c>
      <c r="K42" s="11" t="inlineStr">
        <is>
          <t>Area (mm²)</t>
        </is>
      </c>
      <c r="L42" s="11" t="inlineStr">
        <is>
          <t>λ1 = 1 − d1/L0</t>
        </is>
      </c>
      <c r="M42" s="11" t="inlineStr">
        <is>
          <t>λ2 = 1 − d2/L0</t>
        </is>
      </c>
      <c r="N42" s="11" t="inlineStr">
        <is>
          <t>G (MPa)</t>
        </is>
      </c>
      <c r="O42" s="11" t="inlineStr">
        <is>
          <t>E = 3G (MPa)</t>
        </is>
      </c>
      <c r="P42" s="11" t="inlineStr">
        <is>
          <t>T (K)</t>
        </is>
      </c>
      <c r="Q42" s="11" t="inlineStr">
        <is>
          <t>ν_e (mol/m³)</t>
        </is>
      </c>
      <c r="R42" s="11" t="inlineStr">
        <is>
          <t>Mc (g/mol)</t>
        </is>
      </c>
      <c r="S42" s="11" t="inlineStr">
        <is>
          <t>ν_e / ν_e,theo</t>
        </is>
      </c>
      <c r="T42" s="11" t="inlineStr">
        <is>
          <t>α — Miller–Macosko</t>
        </is>
      </c>
      <c r="U42" s="11" t="inlineStr">
        <is>
          <t>Tg on file (°C)</t>
        </is>
      </c>
      <c r="V42" s="11" t="inlineStr">
        <is>
          <t>Checks</t>
        </is>
      </c>
      <c r="W42" s="11" t="inlineStr">
        <is>
          <t>Notes</t>
        </is>
      </c>
    </row>
    <row r="43">
      <c r="A43" s="17" t="inlineStr">
        <is>
          <t>S2</t>
        </is>
      </c>
      <c r="B43" s="27" t="n">
        <v>60</v>
      </c>
      <c r="C43" s="26" t="n">
        <v>8</v>
      </c>
      <c r="D43" s="26" t="n">
        <v>25</v>
      </c>
      <c r="E43" s="28" t="n">
        <v>2</v>
      </c>
      <c r="F43" s="24" t="n">
        <v>5</v>
      </c>
      <c r="G43" s="28" t="n">
        <v>0.01</v>
      </c>
      <c r="H43" s="24" t="n">
        <v>26.82</v>
      </c>
      <c r="I43" s="28" t="n">
        <v>0.05</v>
      </c>
      <c r="J43" s="24" t="n">
        <v>127.13</v>
      </c>
      <c r="K43" s="46">
        <f>IF(F43="","",PI()*F43^2/4)</f>
        <v/>
      </c>
      <c r="L43" s="32">
        <f>IF(OR(E43="",H43=""),"",1-H43/(E43*1000))</f>
        <v/>
      </c>
      <c r="M43" s="32">
        <f>IF(OR(E43="",J43=""),"",1-J43/(E43*1000))</f>
        <v/>
      </c>
      <c r="N43" s="32">
        <f>IF(OR(K43="",L43="",M43="",G43="",I43=""),"",IFERROR((I43/K43-G43/K43)/((1/M43^2-M43)-(1/L43^2-L43)),""))</f>
        <v/>
      </c>
      <c r="O43" s="32">
        <f>IF(N43="","",3*N43)</f>
        <v/>
      </c>
      <c r="P43" s="46">
        <f>IF(D43="","",D43+273.15)</f>
        <v/>
      </c>
      <c r="Q43" s="31">
        <f>IF(OR(N43="",P43=""),"",N43*1000000/($B$5*$B$6*P43))</f>
        <v/>
      </c>
      <c r="R43" s="50">
        <f>IF(Q43="","",IF(Q43&lt;=0,"",$B$7*1000000/Q43))</f>
        <v/>
      </c>
      <c r="S43" s="20">
        <f>IF(OR(Q43="",$B$8&lt;=0),"",Q43/$B$8)</f>
        <v/>
      </c>
      <c r="T43" s="20">
        <f>IF(OR(Q43="",$B$8&lt;=0),"",IF(Q43&lt;=0,"check inputs",IF(Q43&gt;$B$8,"&gt; theoretical",INDEX(MM_Table!$A$9:$A$1009,MATCH(Q43,MM_Table!$D$9:$D$1009,1)))))</f>
        <v/>
      </c>
      <c r="U43" s="31">
        <f>IF(A43="","",IFERROR(INDEX($Q$20:$Q$39,MATCH(A43,$A$20:$A$39,0)),""))</f>
        <v/>
      </c>
      <c r="V43" s="21">
        <f>IF(OR(D43="",N43=""),"",IF(U43="",IF(J43/(E43*1000)&gt;0.2,"strain &gt; 20 %","OK (no Tg on file)"),IF(D43-U43&lt;30,"T &lt; Tg + 30 °C",IF(J43/(E43*1000)&gt;0.2,"strain &gt; 20 %","OK"))))</f>
        <v/>
      </c>
      <c r="W43" s="17" t="n"/>
    </row>
    <row r="44">
      <c r="A44" s="17" t="inlineStr">
        <is>
          <t>S3</t>
        </is>
      </c>
      <c r="B44" s="27" t="n">
        <v>60</v>
      </c>
      <c r="C44" s="26" t="n">
        <v>24</v>
      </c>
      <c r="D44" s="26" t="n">
        <v>25</v>
      </c>
      <c r="E44" s="28" t="n">
        <v>2</v>
      </c>
      <c r="F44" s="24" t="n">
        <v>5</v>
      </c>
      <c r="G44" s="28" t="n">
        <v>0.05</v>
      </c>
      <c r="H44" s="24" t="n">
        <v>3.32</v>
      </c>
      <c r="I44" s="28" t="n">
        <v>1</v>
      </c>
      <c r="J44" s="24" t="n">
        <v>64.37</v>
      </c>
      <c r="K44" s="46">
        <f>IF(F44="","",PI()*F44^2/4)</f>
        <v/>
      </c>
      <c r="L44" s="32">
        <f>IF(OR(E44="",H44=""),"",1-H44/(E44*1000))</f>
        <v/>
      </c>
      <c r="M44" s="32">
        <f>IF(OR(E44="",J44=""),"",1-J44/(E44*1000))</f>
        <v/>
      </c>
      <c r="N44" s="32">
        <f>IF(OR(K44="",L44="",M44="",G44="",I44=""),"",IFERROR((I44/K44-G44/K44)/((1/M44^2-M44)-(1/L44^2-L44)),""))</f>
        <v/>
      </c>
      <c r="O44" s="32">
        <f>IF(N44="","",3*N44)</f>
        <v/>
      </c>
      <c r="P44" s="46">
        <f>IF(D44="","",D44+273.15)</f>
        <v/>
      </c>
      <c r="Q44" s="31">
        <f>IF(OR(N44="",P44=""),"",N44*1000000/($B$5*$B$6*P44))</f>
        <v/>
      </c>
      <c r="R44" s="50">
        <f>IF(Q44="","",IF(Q44&lt;=0,"",$B$7*1000000/Q44))</f>
        <v/>
      </c>
      <c r="S44" s="20">
        <f>IF(OR(Q44="",$B$8&lt;=0),"",Q44/$B$8)</f>
        <v/>
      </c>
      <c r="T44" s="20">
        <f>IF(OR(Q44="",$B$8&lt;=0),"",IF(Q44&lt;=0,"check inputs",IF(Q44&gt;$B$8,"&gt; theoretical",INDEX(MM_Table!$A$9:$A$1009,MATCH(Q44,MM_Table!$D$9:$D$1009,1)))))</f>
        <v/>
      </c>
      <c r="U44" s="31">
        <f>IF(A44="","",IFERROR(INDEX($Q$20:$Q$39,MATCH(A44,$A$20:$A$39,0)),""))</f>
        <v/>
      </c>
      <c r="V44" s="21">
        <f>IF(OR(D44="",N44=""),"",IF(U44="",IF(J44/(E44*1000)&gt;0.2,"strain &gt; 20 %","OK (no Tg on file)"),IF(D44-U44&lt;30,"T &lt; Tg + 30 °C",IF(J44/(E44*1000)&gt;0.2,"strain &gt; 20 %","OK"))))</f>
        <v/>
      </c>
      <c r="W44" s="17" t="n"/>
    </row>
    <row r="45">
      <c r="A45" s="17" t="inlineStr">
        <is>
          <t>S4</t>
        </is>
      </c>
      <c r="B45" s="27" t="n">
        <v>60</v>
      </c>
      <c r="C45" s="26" t="n">
        <v>72</v>
      </c>
      <c r="D45" s="26" t="n">
        <v>25</v>
      </c>
      <c r="E45" s="28" t="n">
        <v>2</v>
      </c>
      <c r="F45" s="24" t="n">
        <v>5</v>
      </c>
      <c r="G45" s="28" t="n">
        <v>0.05</v>
      </c>
      <c r="H45" s="24" t="n">
        <v>1.81</v>
      </c>
      <c r="I45" s="28" t="n">
        <v>1.5</v>
      </c>
      <c r="J45" s="24" t="n">
        <v>52.92</v>
      </c>
      <c r="K45" s="46">
        <f>IF(F45="","",PI()*F45^2/4)</f>
        <v/>
      </c>
      <c r="L45" s="32">
        <f>IF(OR(E45="",H45=""),"",1-H45/(E45*1000))</f>
        <v/>
      </c>
      <c r="M45" s="32">
        <f>IF(OR(E45="",J45=""),"",1-J45/(E45*1000))</f>
        <v/>
      </c>
      <c r="N45" s="32">
        <f>IF(OR(K45="",L45="",M45="",G45="",I45=""),"",IFERROR((I45/K45-G45/K45)/((1/M45^2-M45)-(1/L45^2-L45)),""))</f>
        <v/>
      </c>
      <c r="O45" s="32">
        <f>IF(N45="","",3*N45)</f>
        <v/>
      </c>
      <c r="P45" s="46">
        <f>IF(D45="","",D45+273.15)</f>
        <v/>
      </c>
      <c r="Q45" s="31">
        <f>IF(OR(N45="",P45=""),"",N45*1000000/($B$5*$B$6*P45))</f>
        <v/>
      </c>
      <c r="R45" s="50">
        <f>IF(Q45="","",IF(Q45&lt;=0,"",$B$7*1000000/Q45))</f>
        <v/>
      </c>
      <c r="S45" s="20">
        <f>IF(OR(Q45="",$B$8&lt;=0),"",Q45/$B$8)</f>
        <v/>
      </c>
      <c r="T45" s="20">
        <f>IF(OR(Q45="",$B$8&lt;=0),"",IF(Q45&lt;=0,"check inputs",IF(Q45&gt;$B$8,"&gt; theoretical",INDEX(MM_Table!$A$9:$A$1009,MATCH(Q45,MM_Table!$D$9:$D$1009,1)))))</f>
        <v/>
      </c>
      <c r="U45" s="31">
        <f>IF(A45="","",IFERROR(INDEX($Q$20:$Q$39,MATCH(A45,$A$20:$A$39,0)),""))</f>
        <v/>
      </c>
      <c r="V45" s="21">
        <f>IF(OR(D45="",N45=""),"",IF(U45="",IF(J45/(E45*1000)&gt;0.2,"strain &gt; 20 %","OK (no Tg on file)"),IF(D45-U45&lt;30,"T &lt; Tg + 30 °C",IF(J45/(E45*1000)&gt;0.2,"strain &gt; 20 %","OK"))))</f>
        <v/>
      </c>
      <c r="W45" s="17" t="n"/>
    </row>
    <row r="46">
      <c r="A46" s="17" t="n"/>
      <c r="B46" s="27" t="n"/>
      <c r="C46" s="26" t="n"/>
      <c r="D46" s="26" t="n"/>
      <c r="E46" s="28" t="n"/>
      <c r="F46" s="24" t="n"/>
      <c r="G46" s="28" t="n"/>
      <c r="H46" s="24" t="n"/>
      <c r="I46" s="28" t="n"/>
      <c r="J46" s="24" t="n"/>
      <c r="K46" s="46">
        <f>IF(F46="","",PI()*F46^2/4)</f>
        <v/>
      </c>
      <c r="L46" s="32">
        <f>IF(OR(E46="",H46=""),"",1-H46/(E46*1000))</f>
        <v/>
      </c>
      <c r="M46" s="32">
        <f>IF(OR(E46="",J46=""),"",1-J46/(E46*1000))</f>
        <v/>
      </c>
      <c r="N46" s="32">
        <f>IF(OR(K46="",L46="",M46="",G46="",I46=""),"",IFERROR((I46/K46-G46/K46)/((1/M46^2-M46)-(1/L46^2-L46)),""))</f>
        <v/>
      </c>
      <c r="O46" s="32">
        <f>IF(N46="","",3*N46)</f>
        <v/>
      </c>
      <c r="P46" s="46">
        <f>IF(D46="","",D46+273.15)</f>
        <v/>
      </c>
      <c r="Q46" s="31">
        <f>IF(OR(N46="",P46=""),"",N46*1000000/($B$5*$B$6*P46))</f>
        <v/>
      </c>
      <c r="R46" s="50">
        <f>IF(Q46="","",IF(Q46&lt;=0,"",$B$7*1000000/Q46))</f>
        <v/>
      </c>
      <c r="S46" s="20">
        <f>IF(OR(Q46="",$B$8&lt;=0),"",Q46/$B$8)</f>
        <v/>
      </c>
      <c r="T46" s="20">
        <f>IF(OR(Q46="",$B$8&lt;=0),"",IF(Q46&lt;=0,"check inputs",IF(Q46&gt;$B$8,"&gt; theoretical",INDEX(MM_Table!$A$9:$A$1009,MATCH(Q46,MM_Table!$D$9:$D$1009,1)))))</f>
        <v/>
      </c>
      <c r="U46" s="31">
        <f>IF(A46="","",IFERROR(INDEX($Q$20:$Q$39,MATCH(A46,$A$20:$A$39,0)),""))</f>
        <v/>
      </c>
      <c r="V46" s="21">
        <f>IF(OR(D46="",N46=""),"",IF(U46="",IF(J46/(E46*1000)&gt;0.2,"strain &gt; 20 %","OK (no Tg on file)"),IF(D46-U46&lt;30,"T &lt; Tg + 30 °C",IF(J46/(E46*1000)&gt;0.2,"strain &gt; 20 %","OK"))))</f>
        <v/>
      </c>
      <c r="W46" s="17" t="n"/>
    </row>
    <row r="47">
      <c r="A47" s="17" t="n"/>
      <c r="B47" s="27" t="n"/>
      <c r="C47" s="26" t="n"/>
      <c r="D47" s="26" t="n"/>
      <c r="E47" s="28" t="n"/>
      <c r="F47" s="24" t="n"/>
      <c r="G47" s="28" t="n"/>
      <c r="H47" s="24" t="n"/>
      <c r="I47" s="28" t="n"/>
      <c r="J47" s="24" t="n"/>
      <c r="K47" s="46">
        <f>IF(F47="","",PI()*F47^2/4)</f>
        <v/>
      </c>
      <c r="L47" s="32">
        <f>IF(OR(E47="",H47=""),"",1-H47/(E47*1000))</f>
        <v/>
      </c>
      <c r="M47" s="32">
        <f>IF(OR(E47="",J47=""),"",1-J47/(E47*1000))</f>
        <v/>
      </c>
      <c r="N47" s="32">
        <f>IF(OR(K47="",L47="",M47="",G47="",I47=""),"",IFERROR((I47/K47-G47/K47)/((1/M47^2-M47)-(1/L47^2-L47)),""))</f>
        <v/>
      </c>
      <c r="O47" s="32">
        <f>IF(N47="","",3*N47)</f>
        <v/>
      </c>
      <c r="P47" s="46">
        <f>IF(D47="","",D47+273.15)</f>
        <v/>
      </c>
      <c r="Q47" s="31">
        <f>IF(OR(N47="",P47=""),"",N47*1000000/($B$5*$B$6*P47))</f>
        <v/>
      </c>
      <c r="R47" s="50">
        <f>IF(Q47="","",IF(Q47&lt;=0,"",$B$7*1000000/Q47))</f>
        <v/>
      </c>
      <c r="S47" s="20">
        <f>IF(OR(Q47="",$B$8&lt;=0),"",Q47/$B$8)</f>
        <v/>
      </c>
      <c r="T47" s="20">
        <f>IF(OR(Q47="",$B$8&lt;=0),"",IF(Q47&lt;=0,"check inputs",IF(Q47&gt;$B$8,"&gt; theoretical",INDEX(MM_Table!$A$9:$A$1009,MATCH(Q47,MM_Table!$D$9:$D$1009,1)))))</f>
        <v/>
      </c>
      <c r="U47" s="31">
        <f>IF(A47="","",IFERROR(INDEX($Q$20:$Q$39,MATCH(A47,$A$20:$A$39,0)),""))</f>
        <v/>
      </c>
      <c r="V47" s="21">
        <f>IF(OR(D47="",N47=""),"",IF(U47="",IF(J47/(E47*1000)&gt;0.2,"strain &gt; 20 %","OK (no Tg on file)"),IF(D47-U47&lt;30,"T &lt; Tg + 30 °C",IF(J47/(E47*1000)&gt;0.2,"strain &gt; 20 %","OK"))))</f>
        <v/>
      </c>
      <c r="W47" s="17" t="n"/>
    </row>
    <row r="48">
      <c r="A48" s="17" t="n"/>
      <c r="B48" s="27" t="n"/>
      <c r="C48" s="26" t="n"/>
      <c r="D48" s="26" t="n"/>
      <c r="E48" s="28" t="n"/>
      <c r="F48" s="24" t="n"/>
      <c r="G48" s="28" t="n"/>
      <c r="H48" s="24" t="n"/>
      <c r="I48" s="28" t="n"/>
      <c r="J48" s="24" t="n"/>
      <c r="K48" s="46">
        <f>IF(F48="","",PI()*F48^2/4)</f>
        <v/>
      </c>
      <c r="L48" s="32">
        <f>IF(OR(E48="",H48=""),"",1-H48/(E48*1000))</f>
        <v/>
      </c>
      <c r="M48" s="32">
        <f>IF(OR(E48="",J48=""),"",1-J48/(E48*1000))</f>
        <v/>
      </c>
      <c r="N48" s="32">
        <f>IF(OR(K48="",L48="",M48="",G48="",I48=""),"",IFERROR((I48/K48-G48/K48)/((1/M48^2-M48)-(1/L48^2-L48)),""))</f>
        <v/>
      </c>
      <c r="O48" s="32">
        <f>IF(N48="","",3*N48)</f>
        <v/>
      </c>
      <c r="P48" s="46">
        <f>IF(D48="","",D48+273.15)</f>
        <v/>
      </c>
      <c r="Q48" s="31">
        <f>IF(OR(N48="",P48=""),"",N48*1000000/($B$5*$B$6*P48))</f>
        <v/>
      </c>
      <c r="R48" s="50">
        <f>IF(Q48="","",IF(Q48&lt;=0,"",$B$7*1000000/Q48))</f>
        <v/>
      </c>
      <c r="S48" s="20">
        <f>IF(OR(Q48="",$B$8&lt;=0),"",Q48/$B$8)</f>
        <v/>
      </c>
      <c r="T48" s="20">
        <f>IF(OR(Q48="",$B$8&lt;=0),"",IF(Q48&lt;=0,"check inputs",IF(Q48&gt;$B$8,"&gt; theoretical",INDEX(MM_Table!$A$9:$A$1009,MATCH(Q48,MM_Table!$D$9:$D$1009,1)))))</f>
        <v/>
      </c>
      <c r="U48" s="31">
        <f>IF(A48="","",IFERROR(INDEX($Q$20:$Q$39,MATCH(A48,$A$20:$A$39,0)),""))</f>
        <v/>
      </c>
      <c r="V48" s="21">
        <f>IF(OR(D48="",N48=""),"",IF(U48="",IF(J48/(E48*1000)&gt;0.2,"strain &gt; 20 %","OK (no Tg on file)"),IF(D48-U48&lt;30,"T &lt; Tg + 30 °C",IF(J48/(E48*1000)&gt;0.2,"strain &gt; 20 %","OK"))))</f>
        <v/>
      </c>
      <c r="W48" s="17" t="n"/>
    </row>
    <row r="49">
      <c r="A49" s="17" t="n"/>
      <c r="B49" s="27" t="n"/>
      <c r="C49" s="26" t="n"/>
      <c r="D49" s="26" t="n"/>
      <c r="E49" s="28" t="n"/>
      <c r="F49" s="24" t="n"/>
      <c r="G49" s="28" t="n"/>
      <c r="H49" s="24" t="n"/>
      <c r="I49" s="28" t="n"/>
      <c r="J49" s="24" t="n"/>
      <c r="K49" s="46">
        <f>IF(F49="","",PI()*F49^2/4)</f>
        <v/>
      </c>
      <c r="L49" s="32">
        <f>IF(OR(E49="",H49=""),"",1-H49/(E49*1000))</f>
        <v/>
      </c>
      <c r="M49" s="32">
        <f>IF(OR(E49="",J49=""),"",1-J49/(E49*1000))</f>
        <v/>
      </c>
      <c r="N49" s="32">
        <f>IF(OR(K49="",L49="",M49="",G49="",I49=""),"",IFERROR((I49/K49-G49/K49)/((1/M49^2-M49)-(1/L49^2-L49)),""))</f>
        <v/>
      </c>
      <c r="O49" s="32">
        <f>IF(N49="","",3*N49)</f>
        <v/>
      </c>
      <c r="P49" s="46">
        <f>IF(D49="","",D49+273.15)</f>
        <v/>
      </c>
      <c r="Q49" s="31">
        <f>IF(OR(N49="",P49=""),"",N49*1000000/($B$5*$B$6*P49))</f>
        <v/>
      </c>
      <c r="R49" s="50">
        <f>IF(Q49="","",IF(Q49&lt;=0,"",$B$7*1000000/Q49))</f>
        <v/>
      </c>
      <c r="S49" s="20">
        <f>IF(OR(Q49="",$B$8&lt;=0),"",Q49/$B$8)</f>
        <v/>
      </c>
      <c r="T49" s="20">
        <f>IF(OR(Q49="",$B$8&lt;=0),"",IF(Q49&lt;=0,"check inputs",IF(Q49&gt;$B$8,"&gt; theoretical",INDEX(MM_Table!$A$9:$A$1009,MATCH(Q49,MM_Table!$D$9:$D$1009,1)))))</f>
        <v/>
      </c>
      <c r="U49" s="31">
        <f>IF(A49="","",IFERROR(INDEX($Q$20:$Q$39,MATCH(A49,$A$20:$A$39,0)),""))</f>
        <v/>
      </c>
      <c r="V49" s="21">
        <f>IF(OR(D49="",N49=""),"",IF(U49="",IF(J49/(E49*1000)&gt;0.2,"strain &gt; 20 %","OK (no Tg on file)"),IF(D49-U49&lt;30,"T &lt; Tg + 30 °C",IF(J49/(E49*1000)&gt;0.2,"strain &gt; 20 %","OK"))))</f>
        <v/>
      </c>
      <c r="W49" s="17" t="n"/>
    </row>
    <row r="50">
      <c r="A50" s="17" t="n"/>
      <c r="B50" s="27" t="n"/>
      <c r="C50" s="26" t="n"/>
      <c r="D50" s="26" t="n"/>
      <c r="E50" s="28" t="n"/>
      <c r="F50" s="24" t="n"/>
      <c r="G50" s="28" t="n"/>
      <c r="H50" s="24" t="n"/>
      <c r="I50" s="28" t="n"/>
      <c r="J50" s="24" t="n"/>
      <c r="K50" s="46">
        <f>IF(F50="","",PI()*F50^2/4)</f>
        <v/>
      </c>
      <c r="L50" s="32">
        <f>IF(OR(E50="",H50=""),"",1-H50/(E50*1000))</f>
        <v/>
      </c>
      <c r="M50" s="32">
        <f>IF(OR(E50="",J50=""),"",1-J50/(E50*1000))</f>
        <v/>
      </c>
      <c r="N50" s="32">
        <f>IF(OR(K50="",L50="",M50="",G50="",I50=""),"",IFERROR((I50/K50-G50/K50)/((1/M50^2-M50)-(1/L50^2-L50)),""))</f>
        <v/>
      </c>
      <c r="O50" s="32">
        <f>IF(N50="","",3*N50)</f>
        <v/>
      </c>
      <c r="P50" s="46">
        <f>IF(D50="","",D50+273.15)</f>
        <v/>
      </c>
      <c r="Q50" s="31">
        <f>IF(OR(N50="",P50=""),"",N50*1000000/($B$5*$B$6*P50))</f>
        <v/>
      </c>
      <c r="R50" s="50">
        <f>IF(Q50="","",IF(Q50&lt;=0,"",$B$7*1000000/Q50))</f>
        <v/>
      </c>
      <c r="S50" s="20">
        <f>IF(OR(Q50="",$B$8&lt;=0),"",Q50/$B$8)</f>
        <v/>
      </c>
      <c r="T50" s="20">
        <f>IF(OR(Q50="",$B$8&lt;=0),"",IF(Q50&lt;=0,"check inputs",IF(Q50&gt;$B$8,"&gt; theoretical",INDEX(MM_Table!$A$9:$A$1009,MATCH(Q50,MM_Table!$D$9:$D$1009,1)))))</f>
        <v/>
      </c>
      <c r="U50" s="31">
        <f>IF(A50="","",IFERROR(INDEX($Q$20:$Q$39,MATCH(A50,$A$20:$A$39,0)),""))</f>
        <v/>
      </c>
      <c r="V50" s="21">
        <f>IF(OR(D50="",N50=""),"",IF(U50="",IF(J50/(E50*1000)&gt;0.2,"strain &gt; 20 %","OK (no Tg on file)"),IF(D50-U50&lt;30,"T &lt; Tg + 30 °C",IF(J50/(E50*1000)&gt;0.2,"strain &gt; 20 %","OK"))))</f>
        <v/>
      </c>
      <c r="W50" s="17" t="n"/>
    </row>
    <row r="51">
      <c r="A51" s="17" t="n"/>
      <c r="B51" s="27" t="n"/>
      <c r="C51" s="26" t="n"/>
      <c r="D51" s="26" t="n"/>
      <c r="E51" s="28" t="n"/>
      <c r="F51" s="24" t="n"/>
      <c r="G51" s="28" t="n"/>
      <c r="H51" s="24" t="n"/>
      <c r="I51" s="28" t="n"/>
      <c r="J51" s="24" t="n"/>
      <c r="K51" s="46">
        <f>IF(F51="","",PI()*F51^2/4)</f>
        <v/>
      </c>
      <c r="L51" s="32">
        <f>IF(OR(E51="",H51=""),"",1-H51/(E51*1000))</f>
        <v/>
      </c>
      <c r="M51" s="32">
        <f>IF(OR(E51="",J51=""),"",1-J51/(E51*1000))</f>
        <v/>
      </c>
      <c r="N51" s="32">
        <f>IF(OR(K51="",L51="",M51="",G51="",I51=""),"",IFERROR((I51/K51-G51/K51)/((1/M51^2-M51)-(1/L51^2-L51)),""))</f>
        <v/>
      </c>
      <c r="O51" s="32">
        <f>IF(N51="","",3*N51)</f>
        <v/>
      </c>
      <c r="P51" s="46">
        <f>IF(D51="","",D51+273.15)</f>
        <v/>
      </c>
      <c r="Q51" s="31">
        <f>IF(OR(N51="",P51=""),"",N51*1000000/($B$5*$B$6*P51))</f>
        <v/>
      </c>
      <c r="R51" s="50">
        <f>IF(Q51="","",IF(Q51&lt;=0,"",$B$7*1000000/Q51))</f>
        <v/>
      </c>
      <c r="S51" s="20">
        <f>IF(OR(Q51="",$B$8&lt;=0),"",Q51/$B$8)</f>
        <v/>
      </c>
      <c r="T51" s="20">
        <f>IF(OR(Q51="",$B$8&lt;=0),"",IF(Q51&lt;=0,"check inputs",IF(Q51&gt;$B$8,"&gt; theoretical",INDEX(MM_Table!$A$9:$A$1009,MATCH(Q51,MM_Table!$D$9:$D$1009,1)))))</f>
        <v/>
      </c>
      <c r="U51" s="31">
        <f>IF(A51="","",IFERROR(INDEX($Q$20:$Q$39,MATCH(A51,$A$20:$A$39,0)),""))</f>
        <v/>
      </c>
      <c r="V51" s="21">
        <f>IF(OR(D51="",N51=""),"",IF(U51="",IF(J51/(E51*1000)&gt;0.2,"strain &gt; 20 %","OK (no Tg on file)"),IF(D51-U51&lt;30,"T &lt; Tg + 30 °C",IF(J51/(E51*1000)&gt;0.2,"strain &gt; 20 %","OK"))))</f>
        <v/>
      </c>
      <c r="W51" s="17" t="n"/>
    </row>
    <row r="52">
      <c r="A52" s="17" t="n"/>
      <c r="B52" s="27" t="n"/>
      <c r="C52" s="26" t="n"/>
      <c r="D52" s="26" t="n"/>
      <c r="E52" s="28" t="n"/>
      <c r="F52" s="24" t="n"/>
      <c r="G52" s="28" t="n"/>
      <c r="H52" s="24" t="n"/>
      <c r="I52" s="28" t="n"/>
      <c r="J52" s="24" t="n"/>
      <c r="K52" s="46">
        <f>IF(F52="","",PI()*F52^2/4)</f>
        <v/>
      </c>
      <c r="L52" s="32">
        <f>IF(OR(E52="",H52=""),"",1-H52/(E52*1000))</f>
        <v/>
      </c>
      <c r="M52" s="32">
        <f>IF(OR(E52="",J52=""),"",1-J52/(E52*1000))</f>
        <v/>
      </c>
      <c r="N52" s="32">
        <f>IF(OR(K52="",L52="",M52="",G52="",I52=""),"",IFERROR((I52/K52-G52/K52)/((1/M52^2-M52)-(1/L52^2-L52)),""))</f>
        <v/>
      </c>
      <c r="O52" s="32">
        <f>IF(N52="","",3*N52)</f>
        <v/>
      </c>
      <c r="P52" s="46">
        <f>IF(D52="","",D52+273.15)</f>
        <v/>
      </c>
      <c r="Q52" s="31">
        <f>IF(OR(N52="",P52=""),"",N52*1000000/($B$5*$B$6*P52))</f>
        <v/>
      </c>
      <c r="R52" s="50">
        <f>IF(Q52="","",IF(Q52&lt;=0,"",$B$7*1000000/Q52))</f>
        <v/>
      </c>
      <c r="S52" s="20">
        <f>IF(OR(Q52="",$B$8&lt;=0),"",Q52/$B$8)</f>
        <v/>
      </c>
      <c r="T52" s="20">
        <f>IF(OR(Q52="",$B$8&lt;=0),"",IF(Q52&lt;=0,"check inputs",IF(Q52&gt;$B$8,"&gt; theoretical",INDEX(MM_Table!$A$9:$A$1009,MATCH(Q52,MM_Table!$D$9:$D$1009,1)))))</f>
        <v/>
      </c>
      <c r="U52" s="31">
        <f>IF(A52="","",IFERROR(INDEX($Q$20:$Q$39,MATCH(A52,$A$20:$A$39,0)),""))</f>
        <v/>
      </c>
      <c r="V52" s="21">
        <f>IF(OR(D52="",N52=""),"",IF(U52="",IF(J52/(E52*1000)&gt;0.2,"strain &gt; 20 %","OK (no Tg on file)"),IF(D52-U52&lt;30,"T &lt; Tg + 30 °C",IF(J52/(E52*1000)&gt;0.2,"strain &gt; 20 %","OK"))))</f>
        <v/>
      </c>
      <c r="W52" s="17" t="n"/>
    </row>
    <row r="53">
      <c r="A53" s="17" t="n"/>
      <c r="B53" s="27" t="n"/>
      <c r="C53" s="26" t="n"/>
      <c r="D53" s="26" t="n"/>
      <c r="E53" s="28" t="n"/>
      <c r="F53" s="24" t="n"/>
      <c r="G53" s="28" t="n"/>
      <c r="H53" s="24" t="n"/>
      <c r="I53" s="28" t="n"/>
      <c r="J53" s="24" t="n"/>
      <c r="K53" s="46">
        <f>IF(F53="","",PI()*F53^2/4)</f>
        <v/>
      </c>
      <c r="L53" s="32">
        <f>IF(OR(E53="",H53=""),"",1-H53/(E53*1000))</f>
        <v/>
      </c>
      <c r="M53" s="32">
        <f>IF(OR(E53="",J53=""),"",1-J53/(E53*1000))</f>
        <v/>
      </c>
      <c r="N53" s="32">
        <f>IF(OR(K53="",L53="",M53="",G53="",I53=""),"",IFERROR((I53/K53-G53/K53)/((1/M53^2-M53)-(1/L53^2-L53)),""))</f>
        <v/>
      </c>
      <c r="O53" s="32">
        <f>IF(N53="","",3*N53)</f>
        <v/>
      </c>
      <c r="P53" s="46">
        <f>IF(D53="","",D53+273.15)</f>
        <v/>
      </c>
      <c r="Q53" s="31">
        <f>IF(OR(N53="",P53=""),"",N53*1000000/($B$5*$B$6*P53))</f>
        <v/>
      </c>
      <c r="R53" s="50">
        <f>IF(Q53="","",IF(Q53&lt;=0,"",$B$7*1000000/Q53))</f>
        <v/>
      </c>
      <c r="S53" s="20">
        <f>IF(OR(Q53="",$B$8&lt;=0),"",Q53/$B$8)</f>
        <v/>
      </c>
      <c r="T53" s="20">
        <f>IF(OR(Q53="",$B$8&lt;=0),"",IF(Q53&lt;=0,"check inputs",IF(Q53&gt;$B$8,"&gt; theoretical",INDEX(MM_Table!$A$9:$A$1009,MATCH(Q53,MM_Table!$D$9:$D$1009,1)))))</f>
        <v/>
      </c>
      <c r="U53" s="31">
        <f>IF(A53="","",IFERROR(INDEX($Q$20:$Q$39,MATCH(A53,$A$20:$A$39,0)),""))</f>
        <v/>
      </c>
      <c r="V53" s="21">
        <f>IF(OR(D53="",N53=""),"",IF(U53="",IF(J53/(E53*1000)&gt;0.2,"strain &gt; 20 %","OK (no Tg on file)"),IF(D53-U53&lt;30,"T &lt; Tg + 30 °C",IF(J53/(E53*1000)&gt;0.2,"strain &gt; 20 %","OK"))))</f>
        <v/>
      </c>
      <c r="W53" s="17" t="n"/>
    </row>
    <row r="54">
      <c r="A54" s="17" t="n"/>
      <c r="B54" s="27" t="n"/>
      <c r="C54" s="26" t="n"/>
      <c r="D54" s="26" t="n"/>
      <c r="E54" s="28" t="n"/>
      <c r="F54" s="24" t="n"/>
      <c r="G54" s="28" t="n"/>
      <c r="H54" s="24" t="n"/>
      <c r="I54" s="28" t="n"/>
      <c r="J54" s="24" t="n"/>
      <c r="K54" s="46">
        <f>IF(F54="","",PI()*F54^2/4)</f>
        <v/>
      </c>
      <c r="L54" s="32">
        <f>IF(OR(E54="",H54=""),"",1-H54/(E54*1000))</f>
        <v/>
      </c>
      <c r="M54" s="32">
        <f>IF(OR(E54="",J54=""),"",1-J54/(E54*1000))</f>
        <v/>
      </c>
      <c r="N54" s="32">
        <f>IF(OR(K54="",L54="",M54="",G54="",I54=""),"",IFERROR((I54/K54-G54/K54)/((1/M54^2-M54)-(1/L54^2-L54)),""))</f>
        <v/>
      </c>
      <c r="O54" s="32">
        <f>IF(N54="","",3*N54)</f>
        <v/>
      </c>
      <c r="P54" s="46">
        <f>IF(D54="","",D54+273.15)</f>
        <v/>
      </c>
      <c r="Q54" s="31">
        <f>IF(OR(N54="",P54=""),"",N54*1000000/($B$5*$B$6*P54))</f>
        <v/>
      </c>
      <c r="R54" s="50">
        <f>IF(Q54="","",IF(Q54&lt;=0,"",$B$7*1000000/Q54))</f>
        <v/>
      </c>
      <c r="S54" s="20">
        <f>IF(OR(Q54="",$B$8&lt;=0),"",Q54/$B$8)</f>
        <v/>
      </c>
      <c r="T54" s="20">
        <f>IF(OR(Q54="",$B$8&lt;=0),"",IF(Q54&lt;=0,"check inputs",IF(Q54&gt;$B$8,"&gt; theoretical",INDEX(MM_Table!$A$9:$A$1009,MATCH(Q54,MM_Table!$D$9:$D$1009,1)))))</f>
        <v/>
      </c>
      <c r="U54" s="31">
        <f>IF(A54="","",IFERROR(INDEX($Q$20:$Q$39,MATCH(A54,$A$20:$A$39,0)),""))</f>
        <v/>
      </c>
      <c r="V54" s="21">
        <f>IF(OR(D54="",N54=""),"",IF(U54="",IF(J54/(E54*1000)&gt;0.2,"strain &gt; 20 %","OK (no Tg on file)"),IF(D54-U54&lt;30,"T &lt; Tg + 30 °C",IF(J54/(E54*1000)&gt;0.2,"strain &gt; 20 %","OK"))))</f>
        <v/>
      </c>
      <c r="W54" s="17" t="n"/>
    </row>
    <row r="55">
      <c r="A55" s="17" t="n"/>
      <c r="B55" s="27" t="n"/>
      <c r="C55" s="26" t="n"/>
      <c r="D55" s="26" t="n"/>
      <c r="E55" s="28" t="n"/>
      <c r="F55" s="24" t="n"/>
      <c r="G55" s="28" t="n"/>
      <c r="H55" s="24" t="n"/>
      <c r="I55" s="28" t="n"/>
      <c r="J55" s="24" t="n"/>
      <c r="K55" s="46">
        <f>IF(F55="","",PI()*F55^2/4)</f>
        <v/>
      </c>
      <c r="L55" s="32">
        <f>IF(OR(E55="",H55=""),"",1-H55/(E55*1000))</f>
        <v/>
      </c>
      <c r="M55" s="32">
        <f>IF(OR(E55="",J55=""),"",1-J55/(E55*1000))</f>
        <v/>
      </c>
      <c r="N55" s="32">
        <f>IF(OR(K55="",L55="",M55="",G55="",I55=""),"",IFERROR((I55/K55-G55/K55)/((1/M55^2-M55)-(1/L55^2-L55)),""))</f>
        <v/>
      </c>
      <c r="O55" s="32">
        <f>IF(N55="","",3*N55)</f>
        <v/>
      </c>
      <c r="P55" s="46">
        <f>IF(D55="","",D55+273.15)</f>
        <v/>
      </c>
      <c r="Q55" s="31">
        <f>IF(OR(N55="",P55=""),"",N55*1000000/($B$5*$B$6*P55))</f>
        <v/>
      </c>
      <c r="R55" s="50">
        <f>IF(Q55="","",IF(Q55&lt;=0,"",$B$7*1000000/Q55))</f>
        <v/>
      </c>
      <c r="S55" s="20">
        <f>IF(OR(Q55="",$B$8&lt;=0),"",Q55/$B$8)</f>
        <v/>
      </c>
      <c r="T55" s="20">
        <f>IF(OR(Q55="",$B$8&lt;=0),"",IF(Q55&lt;=0,"check inputs",IF(Q55&gt;$B$8,"&gt; theoretical",INDEX(MM_Table!$A$9:$A$1009,MATCH(Q55,MM_Table!$D$9:$D$1009,1)))))</f>
        <v/>
      </c>
      <c r="U55" s="31">
        <f>IF(A55="","",IFERROR(INDEX($Q$20:$Q$39,MATCH(A55,$A$20:$A$39,0)),""))</f>
        <v/>
      </c>
      <c r="V55" s="21">
        <f>IF(OR(D55="",N55=""),"",IF(U55="",IF(J55/(E55*1000)&gt;0.2,"strain &gt; 20 %","OK (no Tg on file)"),IF(D55-U55&lt;30,"T &lt; Tg + 30 °C",IF(J55/(E55*1000)&gt;0.2,"strain &gt; 20 %","OK"))))</f>
        <v/>
      </c>
      <c r="W55" s="17" t="n"/>
    </row>
    <row r="56">
      <c r="A56" s="17" t="n"/>
      <c r="B56" s="27" t="n"/>
      <c r="C56" s="26" t="n"/>
      <c r="D56" s="26" t="n"/>
      <c r="E56" s="28" t="n"/>
      <c r="F56" s="24" t="n"/>
      <c r="G56" s="28" t="n"/>
      <c r="H56" s="24" t="n"/>
      <c r="I56" s="28" t="n"/>
      <c r="J56" s="24" t="n"/>
      <c r="K56" s="46">
        <f>IF(F56="","",PI()*F56^2/4)</f>
        <v/>
      </c>
      <c r="L56" s="32">
        <f>IF(OR(E56="",H56=""),"",1-H56/(E56*1000))</f>
        <v/>
      </c>
      <c r="M56" s="32">
        <f>IF(OR(E56="",J56=""),"",1-J56/(E56*1000))</f>
        <v/>
      </c>
      <c r="N56" s="32">
        <f>IF(OR(K56="",L56="",M56="",G56="",I56=""),"",IFERROR((I56/K56-G56/K56)/((1/M56^2-M56)-(1/L56^2-L56)),""))</f>
        <v/>
      </c>
      <c r="O56" s="32">
        <f>IF(N56="","",3*N56)</f>
        <v/>
      </c>
      <c r="P56" s="46">
        <f>IF(D56="","",D56+273.15)</f>
        <v/>
      </c>
      <c r="Q56" s="31">
        <f>IF(OR(N56="",P56=""),"",N56*1000000/($B$5*$B$6*P56))</f>
        <v/>
      </c>
      <c r="R56" s="50">
        <f>IF(Q56="","",IF(Q56&lt;=0,"",$B$7*1000000/Q56))</f>
        <v/>
      </c>
      <c r="S56" s="20">
        <f>IF(OR(Q56="",$B$8&lt;=0),"",Q56/$B$8)</f>
        <v/>
      </c>
      <c r="T56" s="20">
        <f>IF(OR(Q56="",$B$8&lt;=0),"",IF(Q56&lt;=0,"check inputs",IF(Q56&gt;$B$8,"&gt; theoretical",INDEX(MM_Table!$A$9:$A$1009,MATCH(Q56,MM_Table!$D$9:$D$1009,1)))))</f>
        <v/>
      </c>
      <c r="U56" s="31">
        <f>IF(A56="","",IFERROR(INDEX($Q$20:$Q$39,MATCH(A56,$A$20:$A$39,0)),""))</f>
        <v/>
      </c>
      <c r="V56" s="21">
        <f>IF(OR(D56="",N56=""),"",IF(U56="",IF(J56/(E56*1000)&gt;0.2,"strain &gt; 20 %","OK (no Tg on file)"),IF(D56-U56&lt;30,"T &lt; Tg + 30 °C",IF(J56/(E56*1000)&gt;0.2,"strain &gt; 20 %","OK"))))</f>
        <v/>
      </c>
      <c r="W56" s="17" t="n"/>
    </row>
    <row r="57">
      <c r="A57" s="17" t="n"/>
      <c r="B57" s="27" t="n"/>
      <c r="C57" s="26" t="n"/>
      <c r="D57" s="26" t="n"/>
      <c r="E57" s="28" t="n"/>
      <c r="F57" s="24" t="n"/>
      <c r="G57" s="28" t="n"/>
      <c r="H57" s="24" t="n"/>
      <c r="I57" s="28" t="n"/>
      <c r="J57" s="24" t="n"/>
      <c r="K57" s="46">
        <f>IF(F57="","",PI()*F57^2/4)</f>
        <v/>
      </c>
      <c r="L57" s="32">
        <f>IF(OR(E57="",H57=""),"",1-H57/(E57*1000))</f>
        <v/>
      </c>
      <c r="M57" s="32">
        <f>IF(OR(E57="",J57=""),"",1-J57/(E57*1000))</f>
        <v/>
      </c>
      <c r="N57" s="32">
        <f>IF(OR(K57="",L57="",M57="",G57="",I57=""),"",IFERROR((I57/K57-G57/K57)/((1/M57^2-M57)-(1/L57^2-L57)),""))</f>
        <v/>
      </c>
      <c r="O57" s="32">
        <f>IF(N57="","",3*N57)</f>
        <v/>
      </c>
      <c r="P57" s="46">
        <f>IF(D57="","",D57+273.15)</f>
        <v/>
      </c>
      <c r="Q57" s="31">
        <f>IF(OR(N57="",P57=""),"",N57*1000000/($B$5*$B$6*P57))</f>
        <v/>
      </c>
      <c r="R57" s="50">
        <f>IF(Q57="","",IF(Q57&lt;=0,"",$B$7*1000000/Q57))</f>
        <v/>
      </c>
      <c r="S57" s="20">
        <f>IF(OR(Q57="",$B$8&lt;=0),"",Q57/$B$8)</f>
        <v/>
      </c>
      <c r="T57" s="20">
        <f>IF(OR(Q57="",$B$8&lt;=0),"",IF(Q57&lt;=0,"check inputs",IF(Q57&gt;$B$8,"&gt; theoretical",INDEX(MM_Table!$A$9:$A$1009,MATCH(Q57,MM_Table!$D$9:$D$1009,1)))))</f>
        <v/>
      </c>
      <c r="U57" s="31">
        <f>IF(A57="","",IFERROR(INDEX($Q$20:$Q$39,MATCH(A57,$A$20:$A$39,0)),""))</f>
        <v/>
      </c>
      <c r="V57" s="21">
        <f>IF(OR(D57="",N57=""),"",IF(U57="",IF(J57/(E57*1000)&gt;0.2,"strain &gt; 20 %","OK (no Tg on file)"),IF(D57-U57&lt;30,"T &lt; Tg + 30 °C",IF(J57/(E57*1000)&gt;0.2,"strain &gt; 20 %","OK"))))</f>
        <v/>
      </c>
      <c r="W57" s="17" t="n"/>
    </row>
    <row r="58">
      <c r="A58" s="17" t="n"/>
      <c r="B58" s="27" t="n"/>
      <c r="C58" s="26" t="n"/>
      <c r="D58" s="26" t="n"/>
      <c r="E58" s="28" t="n"/>
      <c r="F58" s="24" t="n"/>
      <c r="G58" s="28" t="n"/>
      <c r="H58" s="24" t="n"/>
      <c r="I58" s="28" t="n"/>
      <c r="J58" s="24" t="n"/>
      <c r="K58" s="46">
        <f>IF(F58="","",PI()*F58^2/4)</f>
        <v/>
      </c>
      <c r="L58" s="32">
        <f>IF(OR(E58="",H58=""),"",1-H58/(E58*1000))</f>
        <v/>
      </c>
      <c r="M58" s="32">
        <f>IF(OR(E58="",J58=""),"",1-J58/(E58*1000))</f>
        <v/>
      </c>
      <c r="N58" s="32">
        <f>IF(OR(K58="",L58="",M58="",G58="",I58=""),"",IFERROR((I58/K58-G58/K58)/((1/M58^2-M58)-(1/L58^2-L58)),""))</f>
        <v/>
      </c>
      <c r="O58" s="32">
        <f>IF(N58="","",3*N58)</f>
        <v/>
      </c>
      <c r="P58" s="46">
        <f>IF(D58="","",D58+273.15)</f>
        <v/>
      </c>
      <c r="Q58" s="31">
        <f>IF(OR(N58="",P58=""),"",N58*1000000/($B$5*$B$6*P58))</f>
        <v/>
      </c>
      <c r="R58" s="50">
        <f>IF(Q58="","",IF(Q58&lt;=0,"",$B$7*1000000/Q58))</f>
        <v/>
      </c>
      <c r="S58" s="20">
        <f>IF(OR(Q58="",$B$8&lt;=0),"",Q58/$B$8)</f>
        <v/>
      </c>
      <c r="T58" s="20">
        <f>IF(OR(Q58="",$B$8&lt;=0),"",IF(Q58&lt;=0,"check inputs",IF(Q58&gt;$B$8,"&gt; theoretical",INDEX(MM_Table!$A$9:$A$1009,MATCH(Q58,MM_Table!$D$9:$D$1009,1)))))</f>
        <v/>
      </c>
      <c r="U58" s="31">
        <f>IF(A58="","",IFERROR(INDEX($Q$20:$Q$39,MATCH(A58,$A$20:$A$39,0)),""))</f>
        <v/>
      </c>
      <c r="V58" s="21">
        <f>IF(OR(D58="",N58=""),"",IF(U58="",IF(J58/(E58*1000)&gt;0.2,"strain &gt; 20 %","OK (no Tg on file)"),IF(D58-U58&lt;30,"T &lt; Tg + 30 °C",IF(J58/(E58*1000)&gt;0.2,"strain &gt; 20 %","OK"))))</f>
        <v/>
      </c>
      <c r="W58" s="17" t="n"/>
    </row>
    <row r="59">
      <c r="A59" s="17" t="n"/>
      <c r="B59" s="27" t="n"/>
      <c r="C59" s="26" t="n"/>
      <c r="D59" s="26" t="n"/>
      <c r="E59" s="28" t="n"/>
      <c r="F59" s="24" t="n"/>
      <c r="G59" s="28" t="n"/>
      <c r="H59" s="24" t="n"/>
      <c r="I59" s="28" t="n"/>
      <c r="J59" s="24" t="n"/>
      <c r="K59" s="46">
        <f>IF(F59="","",PI()*F59^2/4)</f>
        <v/>
      </c>
      <c r="L59" s="32">
        <f>IF(OR(E59="",H59=""),"",1-H59/(E59*1000))</f>
        <v/>
      </c>
      <c r="M59" s="32">
        <f>IF(OR(E59="",J59=""),"",1-J59/(E59*1000))</f>
        <v/>
      </c>
      <c r="N59" s="32">
        <f>IF(OR(K59="",L59="",M59="",G59="",I59=""),"",IFERROR((I59/K59-G59/K59)/((1/M59^2-M59)-(1/L59^2-L59)),""))</f>
        <v/>
      </c>
      <c r="O59" s="32">
        <f>IF(N59="","",3*N59)</f>
        <v/>
      </c>
      <c r="P59" s="46">
        <f>IF(D59="","",D59+273.15)</f>
        <v/>
      </c>
      <c r="Q59" s="31">
        <f>IF(OR(N59="",P59=""),"",N59*1000000/($B$5*$B$6*P59))</f>
        <v/>
      </c>
      <c r="R59" s="50">
        <f>IF(Q59="","",IF(Q59&lt;=0,"",$B$7*1000000/Q59))</f>
        <v/>
      </c>
      <c r="S59" s="20">
        <f>IF(OR(Q59="",$B$8&lt;=0),"",Q59/$B$8)</f>
        <v/>
      </c>
      <c r="T59" s="20">
        <f>IF(OR(Q59="",$B$8&lt;=0),"",IF(Q59&lt;=0,"check inputs",IF(Q59&gt;$B$8,"&gt; theoretical",INDEX(MM_Table!$A$9:$A$1009,MATCH(Q59,MM_Table!$D$9:$D$1009,1)))))</f>
        <v/>
      </c>
      <c r="U59" s="31">
        <f>IF(A59="","",IFERROR(INDEX($Q$20:$Q$39,MATCH(A59,$A$20:$A$39,0)),""))</f>
        <v/>
      </c>
      <c r="V59" s="21">
        <f>IF(OR(D59="",N59=""),"",IF(U59="",IF(J59/(E59*1000)&gt;0.2,"strain &gt; 20 %","OK (no Tg on file)"),IF(D59-U59&lt;30,"T &lt; Tg + 30 °C",IF(J59/(E59*1000)&gt;0.2,"strain &gt; 20 %","OK"))))</f>
        <v/>
      </c>
      <c r="W59" s="17" t="n"/>
    </row>
    <row r="60">
      <c r="A60" s="17" t="n"/>
      <c r="B60" s="27" t="n"/>
      <c r="C60" s="26" t="n"/>
      <c r="D60" s="26" t="n"/>
      <c r="E60" s="28" t="n"/>
      <c r="F60" s="24" t="n"/>
      <c r="G60" s="28" t="n"/>
      <c r="H60" s="24" t="n"/>
      <c r="I60" s="28" t="n"/>
      <c r="J60" s="24" t="n"/>
      <c r="K60" s="46">
        <f>IF(F60="","",PI()*F60^2/4)</f>
        <v/>
      </c>
      <c r="L60" s="32">
        <f>IF(OR(E60="",H60=""),"",1-H60/(E60*1000))</f>
        <v/>
      </c>
      <c r="M60" s="32">
        <f>IF(OR(E60="",J60=""),"",1-J60/(E60*1000))</f>
        <v/>
      </c>
      <c r="N60" s="32">
        <f>IF(OR(K60="",L60="",M60="",G60="",I60=""),"",IFERROR((I60/K60-G60/K60)/((1/M60^2-M60)-(1/L60^2-L60)),""))</f>
        <v/>
      </c>
      <c r="O60" s="32">
        <f>IF(N60="","",3*N60)</f>
        <v/>
      </c>
      <c r="P60" s="46">
        <f>IF(D60="","",D60+273.15)</f>
        <v/>
      </c>
      <c r="Q60" s="31">
        <f>IF(OR(N60="",P60=""),"",N60*1000000/($B$5*$B$6*P60))</f>
        <v/>
      </c>
      <c r="R60" s="50">
        <f>IF(Q60="","",IF(Q60&lt;=0,"",$B$7*1000000/Q60))</f>
        <v/>
      </c>
      <c r="S60" s="20">
        <f>IF(OR(Q60="",$B$8&lt;=0),"",Q60/$B$8)</f>
        <v/>
      </c>
      <c r="T60" s="20">
        <f>IF(OR(Q60="",$B$8&lt;=0),"",IF(Q60&lt;=0,"check inputs",IF(Q60&gt;$B$8,"&gt; theoretical",INDEX(MM_Table!$A$9:$A$1009,MATCH(Q60,MM_Table!$D$9:$D$1009,1)))))</f>
        <v/>
      </c>
      <c r="U60" s="31">
        <f>IF(A60="","",IFERROR(INDEX($Q$20:$Q$39,MATCH(A60,$A$20:$A$39,0)),""))</f>
        <v/>
      </c>
      <c r="V60" s="21">
        <f>IF(OR(D60="",N60=""),"",IF(U60="",IF(J60/(E60*1000)&gt;0.2,"strain &gt; 20 %","OK (no Tg on file)"),IF(D60-U60&lt;30,"T &lt; Tg + 30 °C",IF(J60/(E60*1000)&gt;0.2,"strain &gt; 20 %","OK"))))</f>
        <v/>
      </c>
      <c r="W60" s="17" t="n"/>
    </row>
    <row r="61">
      <c r="A61" s="17" t="n"/>
      <c r="B61" s="27" t="n"/>
      <c r="C61" s="26" t="n"/>
      <c r="D61" s="26" t="n"/>
      <c r="E61" s="28" t="n"/>
      <c r="F61" s="24" t="n"/>
      <c r="G61" s="28" t="n"/>
      <c r="H61" s="24" t="n"/>
      <c r="I61" s="28" t="n"/>
      <c r="J61" s="24" t="n"/>
      <c r="K61" s="46">
        <f>IF(F61="","",PI()*F61^2/4)</f>
        <v/>
      </c>
      <c r="L61" s="32">
        <f>IF(OR(E61="",H61=""),"",1-H61/(E61*1000))</f>
        <v/>
      </c>
      <c r="M61" s="32">
        <f>IF(OR(E61="",J61=""),"",1-J61/(E61*1000))</f>
        <v/>
      </c>
      <c r="N61" s="32">
        <f>IF(OR(K61="",L61="",M61="",G61="",I61=""),"",IFERROR((I61/K61-G61/K61)/((1/M61^2-M61)-(1/L61^2-L61)),""))</f>
        <v/>
      </c>
      <c r="O61" s="32">
        <f>IF(N61="","",3*N61)</f>
        <v/>
      </c>
      <c r="P61" s="46">
        <f>IF(D61="","",D61+273.15)</f>
        <v/>
      </c>
      <c r="Q61" s="31">
        <f>IF(OR(N61="",P61=""),"",N61*1000000/($B$5*$B$6*P61))</f>
        <v/>
      </c>
      <c r="R61" s="50">
        <f>IF(Q61="","",IF(Q61&lt;=0,"",$B$7*1000000/Q61))</f>
        <v/>
      </c>
      <c r="S61" s="20">
        <f>IF(OR(Q61="",$B$8&lt;=0),"",Q61/$B$8)</f>
        <v/>
      </c>
      <c r="T61" s="20">
        <f>IF(OR(Q61="",$B$8&lt;=0),"",IF(Q61&lt;=0,"check inputs",IF(Q61&gt;$B$8,"&gt; theoretical",INDEX(MM_Table!$A$9:$A$1009,MATCH(Q61,MM_Table!$D$9:$D$1009,1)))))</f>
        <v/>
      </c>
      <c r="U61" s="31">
        <f>IF(A61="","",IFERROR(INDEX($Q$20:$Q$39,MATCH(A61,$A$20:$A$39,0)),""))</f>
        <v/>
      </c>
      <c r="V61" s="21">
        <f>IF(OR(D61="",N61=""),"",IF(U61="",IF(J61/(E61*1000)&gt;0.2,"strain &gt; 20 %","OK (no Tg on file)"),IF(D61-U61&lt;30,"T &lt; Tg + 30 °C",IF(J61/(E61*1000)&gt;0.2,"strain &gt; 20 %","OK"))))</f>
        <v/>
      </c>
      <c r="W61" s="17" t="n"/>
    </row>
    <row r="62">
      <c r="A62" s="17" t="n"/>
      <c r="B62" s="27" t="n"/>
      <c r="C62" s="26" t="n"/>
      <c r="D62" s="26" t="n"/>
      <c r="E62" s="28" t="n"/>
      <c r="F62" s="24" t="n"/>
      <c r="G62" s="28" t="n"/>
      <c r="H62" s="24" t="n"/>
      <c r="I62" s="28" t="n"/>
      <c r="J62" s="24" t="n"/>
      <c r="K62" s="46">
        <f>IF(F62="","",PI()*F62^2/4)</f>
        <v/>
      </c>
      <c r="L62" s="32">
        <f>IF(OR(E62="",H62=""),"",1-H62/(E62*1000))</f>
        <v/>
      </c>
      <c r="M62" s="32">
        <f>IF(OR(E62="",J62=""),"",1-J62/(E62*1000))</f>
        <v/>
      </c>
      <c r="N62" s="32">
        <f>IF(OR(K62="",L62="",M62="",G62="",I62=""),"",IFERROR((I62/K62-G62/K62)/((1/M62^2-M62)-(1/L62^2-L62)),""))</f>
        <v/>
      </c>
      <c r="O62" s="32">
        <f>IF(N62="","",3*N62)</f>
        <v/>
      </c>
      <c r="P62" s="46">
        <f>IF(D62="","",D62+273.15)</f>
        <v/>
      </c>
      <c r="Q62" s="31">
        <f>IF(OR(N62="",P62=""),"",N62*1000000/($B$5*$B$6*P62))</f>
        <v/>
      </c>
      <c r="R62" s="50">
        <f>IF(Q62="","",IF(Q62&lt;=0,"",$B$7*1000000/Q62))</f>
        <v/>
      </c>
      <c r="S62" s="20">
        <f>IF(OR(Q62="",$B$8&lt;=0),"",Q62/$B$8)</f>
        <v/>
      </c>
      <c r="T62" s="20">
        <f>IF(OR(Q62="",$B$8&lt;=0),"",IF(Q62&lt;=0,"check inputs",IF(Q62&gt;$B$8,"&gt; theoretical",INDEX(MM_Table!$A$9:$A$1009,MATCH(Q62,MM_Table!$D$9:$D$1009,1)))))</f>
        <v/>
      </c>
      <c r="U62" s="31">
        <f>IF(A62="","",IFERROR(INDEX($Q$20:$Q$39,MATCH(A62,$A$20:$A$39,0)),""))</f>
        <v/>
      </c>
      <c r="V62" s="21">
        <f>IF(OR(D62="",N62=""),"",IF(U62="",IF(J62/(E62*1000)&gt;0.2,"strain &gt; 20 %","OK (no Tg on file)"),IF(D62-U62&lt;30,"T &lt; Tg + 30 °C",IF(J62/(E62*1000)&gt;0.2,"strain &gt; 20 %","OK"))))</f>
        <v/>
      </c>
      <c r="W62" s="17" t="n"/>
    </row>
    <row r="64">
      <c r="A64" s="2" t="inlineStr">
        <is>
          <t>"&gt; theoretical": measured ν_e exceeds the ideal network — physical crosslinks, trapped entanglements, side-reaction branching, friction at unlubricated faces, or wrong φ/inputs.</t>
        </is>
      </c>
    </row>
  </sheetData>
  <mergeCells count="2">
    <mergeCell ref="B10:H10"/>
    <mergeCell ref="H12:K12"/>
  </mergeCells>
  <conditionalFormatting sqref="B10">
    <cfRule type="expression" priority="1" dxfId="0">
      <formula>LEFT($B$10,7)="WARNING"</formula>
    </cfRule>
  </conditionalFormatting>
  <conditionalFormatting sqref="T43:V62">
    <cfRule type="expression" priority="2" dxfId="0">
      <formula>OR(T43="&gt; theoretical",T43="check inputs",LEFT(T43,6)="T &lt; Tg",LEFT(T43,6)="strain")</formula>
    </cfRule>
  </conditionalFormatting>
  <dataValidations count="2">
    <dataValidation sqref="B4" showDropDown="0" showInputMessage="0" showErrorMessage="1" allowBlank="0" type="list">
      <formula1>"Affine,Phantom"</formula1>
    </dataValidation>
    <dataValidation sqref="H12" showDropDown="0" showInputMessage="0" showErrorMessage="1" allowBlank="0" type="list">
      <formula1>"Fitted to DSC α,Same as DSC sheet,Tg0/Tg∞ estimate,Manual"</formula1>
    </dataValidation>
  </dataValidations>
  <hyperlinks>
    <hyperlink ref="Y2" location="'Guide'!A1" display="↩ Back to the Guide"/>
    <hyperlink ref="Y17" location="'Sample_Prep'!A58" display="▸ Full preparation protocol for this sheet (Sample_Prep)"/>
  </hyperlink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60" customWidth="1" min="5" max="5"/>
  </cols>
  <sheetData>
    <row r="1">
      <c r="A1" s="1" t="inlineStr">
        <is>
          <t>Miller–Macosko lookup table (calculation sheet — no inputs)</t>
        </is>
      </c>
    </row>
    <row r="2">
      <c r="A2" s="2" t="inlineStr">
        <is>
          <t>ν_e as a function of NCO conversion; DMA looks measured ν_e up here. Rows beyond the maximum attainable conversion are set to 1E+30.     ▸ How to use this sheet: column E</t>
        </is>
      </c>
    </row>
    <row r="3">
      <c r="A3" s="23" t="inlineStr">
        <is>
          <t>r (NCO:OH)</t>
        </is>
      </c>
      <c r="B3" s="42">
        <f>Formulation!B17</f>
        <v/>
      </c>
      <c r="E3" s="16" t="inlineStr">
        <is>
          <t>HOW TO USE — MM_Table</t>
        </is>
      </c>
    </row>
    <row r="4">
      <c r="A4" s="23" t="inlineStr">
        <is>
          <t>f (crosslinker)</t>
        </is>
      </c>
      <c r="B4" s="41">
        <f>Formulation!B23</f>
        <v/>
      </c>
      <c r="E4" s="4" t="inlineStr">
        <is>
          <t>↩ Back to the Guide</t>
        </is>
      </c>
    </row>
    <row r="5">
      <c r="A5" s="23" t="inlineStr">
        <is>
          <t>[Bf]0 (mol/m³)</t>
        </is>
      </c>
      <c r="B5" s="18">
        <f>Formulation!B25</f>
        <v/>
      </c>
      <c r="E5" s="5" t="inlineStr">
        <is>
          <t>No inputs — everything here is calculated from the Formulation sheet.</t>
        </is>
      </c>
    </row>
    <row r="6">
      <c r="A6" s="23" t="inlineStr">
        <is>
          <t>α_max</t>
        </is>
      </c>
      <c r="B6" s="42">
        <f>Formulation!B26</f>
        <v/>
      </c>
      <c r="E6" s="5" t="inlineStr">
        <is>
          <t>DMA and TMA look up their measured ν_e in column D and get the matching α (resolution 0.001).</t>
        </is>
      </c>
    </row>
    <row r="7">
      <c r="E7" s="5" t="inlineStr">
        <is>
          <t>Below the gel point ν_e = 0, so the modulus routes cannot resolve conversion there.</t>
        </is>
      </c>
    </row>
    <row r="8" ht="30" customHeight="1">
      <c r="A8" s="11" t="inlineStr">
        <is>
          <t>α (NCO conversion)</t>
        </is>
      </c>
      <c r="B8" s="11" t="inlineStr">
        <is>
          <t>k = r·α²</t>
        </is>
      </c>
      <c r="C8" s="11" t="inlineStr">
        <is>
          <t>b = P(F_out)</t>
        </is>
      </c>
      <c r="D8" s="11" t="inlineStr">
        <is>
          <t>ν_e (mol/m³)</t>
        </is>
      </c>
    </row>
    <row r="9">
      <c r="A9" s="51" t="n">
        <v>0</v>
      </c>
      <c r="B9" s="52">
        <f>$B$3*A9^2</f>
        <v/>
      </c>
      <c r="C9" s="52">
        <f>IF($B$4=3,IF(B9&lt;=0.5,1,(1-B9)/B9),IF($B$4=4,IF(B9&lt;=1/3,1,(-B9+SQRT(4*B9-3*B9^2))/(2*B9)),1))</f>
        <v/>
      </c>
      <c r="D9" s="51">
        <f>IF(A9&gt;$B$6+0.0000001,1E+30,$B$5*IF($B$4=3,1.5*(1-C9)^3,IF($B$4=4,2*(1-C9)^4+6*C9*(1-C9)^3,0)))</f>
        <v/>
      </c>
      <c r="E9" s="22" t="inlineStr">
        <is>
          <t>Figure — ν_e is far from proportional to conversion; it rises only after the gel point.</t>
        </is>
      </c>
    </row>
    <row r="10">
      <c r="A10" s="51" t="n">
        <v>0.001</v>
      </c>
      <c r="B10" s="52">
        <f>$B$3*A10^2</f>
        <v/>
      </c>
      <c r="C10" s="52">
        <f>IF($B$4=3,IF(B10&lt;=0.5,1,(1-B10)/B10),IF($B$4=4,IF(B10&lt;=1/3,1,(-B10+SQRT(4*B10-3*B10^2))/(2*B10)),1))</f>
        <v/>
      </c>
      <c r="D10" s="51">
        <f>IF(A10&gt;$B$6+0.0000001,1E+30,$B$5*IF($B$4=3,1.5*(1-C10)^3,IF($B$4=4,2*(1-C10)^4+6*C10*(1-C10)^3,0)))</f>
        <v/>
      </c>
    </row>
    <row r="11">
      <c r="A11" s="51" t="n">
        <v>0.002</v>
      </c>
      <c r="B11" s="52">
        <f>$B$3*A11^2</f>
        <v/>
      </c>
      <c r="C11" s="52">
        <f>IF($B$4=3,IF(B11&lt;=0.5,1,(1-B11)/B11),IF($B$4=4,IF(B11&lt;=1/3,1,(-B11+SQRT(4*B11-3*B11^2))/(2*B11)),1))</f>
        <v/>
      </c>
      <c r="D11" s="51">
        <f>IF(A11&gt;$B$6+0.0000001,1E+30,$B$5*IF($B$4=3,1.5*(1-C11)^3,IF($B$4=4,2*(1-C11)^4+6*C11*(1-C11)^3,0)))</f>
        <v/>
      </c>
    </row>
    <row r="12">
      <c r="A12" s="51" t="n">
        <v>0.003</v>
      </c>
      <c r="B12" s="52">
        <f>$B$3*A12^2</f>
        <v/>
      </c>
      <c r="C12" s="52">
        <f>IF($B$4=3,IF(B12&lt;=0.5,1,(1-B12)/B12),IF($B$4=4,IF(B12&lt;=1/3,1,(-B12+SQRT(4*B12-3*B12^2))/(2*B12)),1))</f>
        <v/>
      </c>
      <c r="D12" s="51">
        <f>IF(A12&gt;$B$6+0.0000001,1E+30,$B$5*IF($B$4=3,1.5*(1-C12)^3,IF($B$4=4,2*(1-C12)^4+6*C12*(1-C12)^3,0)))</f>
        <v/>
      </c>
    </row>
    <row r="13">
      <c r="A13" s="51" t="n">
        <v>0.004</v>
      </c>
      <c r="B13" s="52">
        <f>$B$3*A13^2</f>
        <v/>
      </c>
      <c r="C13" s="52">
        <f>IF($B$4=3,IF(B13&lt;=0.5,1,(1-B13)/B13),IF($B$4=4,IF(B13&lt;=1/3,1,(-B13+SQRT(4*B13-3*B13^2))/(2*B13)),1))</f>
        <v/>
      </c>
      <c r="D13" s="51">
        <f>IF(A13&gt;$B$6+0.0000001,1E+30,$B$5*IF($B$4=3,1.5*(1-C13)^3,IF($B$4=4,2*(1-C13)^4+6*C13*(1-C13)^3,0)))</f>
        <v/>
      </c>
    </row>
    <row r="14">
      <c r="A14" s="51" t="n">
        <v>0.005</v>
      </c>
      <c r="B14" s="52">
        <f>$B$3*A14^2</f>
        <v/>
      </c>
      <c r="C14" s="52">
        <f>IF($B$4=3,IF(B14&lt;=0.5,1,(1-B14)/B14),IF($B$4=4,IF(B14&lt;=1/3,1,(-B14+SQRT(4*B14-3*B14^2))/(2*B14)),1))</f>
        <v/>
      </c>
      <c r="D14" s="51">
        <f>IF(A14&gt;$B$6+0.0000001,1E+30,$B$5*IF($B$4=3,1.5*(1-C14)^3,IF($B$4=4,2*(1-C14)^4+6*C14*(1-C14)^3,0)))</f>
        <v/>
      </c>
    </row>
    <row r="15">
      <c r="A15" s="51" t="n">
        <v>0.006</v>
      </c>
      <c r="B15" s="52">
        <f>$B$3*A15^2</f>
        <v/>
      </c>
      <c r="C15" s="52">
        <f>IF($B$4=3,IF(B15&lt;=0.5,1,(1-B15)/B15),IF($B$4=4,IF(B15&lt;=1/3,1,(-B15+SQRT(4*B15-3*B15^2))/(2*B15)),1))</f>
        <v/>
      </c>
      <c r="D15" s="51">
        <f>IF(A15&gt;$B$6+0.0000001,1E+30,$B$5*IF($B$4=3,1.5*(1-C15)^3,IF($B$4=4,2*(1-C15)^4+6*C15*(1-C15)^3,0)))</f>
        <v/>
      </c>
    </row>
    <row r="16">
      <c r="A16" s="51" t="n">
        <v>0.007</v>
      </c>
      <c r="B16" s="52">
        <f>$B$3*A16^2</f>
        <v/>
      </c>
      <c r="C16" s="52">
        <f>IF($B$4=3,IF(B16&lt;=0.5,1,(1-B16)/B16),IF($B$4=4,IF(B16&lt;=1/3,1,(-B16+SQRT(4*B16-3*B16^2))/(2*B16)),1))</f>
        <v/>
      </c>
      <c r="D16" s="51">
        <f>IF(A16&gt;$B$6+0.0000001,1E+30,$B$5*IF($B$4=3,1.5*(1-C16)^3,IF($B$4=4,2*(1-C16)^4+6*C16*(1-C16)^3,0)))</f>
        <v/>
      </c>
    </row>
    <row r="17">
      <c r="A17" s="51" t="n">
        <v>0.008</v>
      </c>
      <c r="B17" s="52">
        <f>$B$3*A17^2</f>
        <v/>
      </c>
      <c r="C17" s="52">
        <f>IF($B$4=3,IF(B17&lt;=0.5,1,(1-B17)/B17),IF($B$4=4,IF(B17&lt;=1/3,1,(-B17+SQRT(4*B17-3*B17^2))/(2*B17)),1))</f>
        <v/>
      </c>
      <c r="D17" s="51">
        <f>IF(A17&gt;$B$6+0.0000001,1E+30,$B$5*IF($B$4=3,1.5*(1-C17)^3,IF($B$4=4,2*(1-C17)^4+6*C17*(1-C17)^3,0)))</f>
        <v/>
      </c>
    </row>
    <row r="18">
      <c r="A18" s="51" t="n">
        <v>0.008999999999999999</v>
      </c>
      <c r="B18" s="52">
        <f>$B$3*A18^2</f>
        <v/>
      </c>
      <c r="C18" s="52">
        <f>IF($B$4=3,IF(B18&lt;=0.5,1,(1-B18)/B18),IF($B$4=4,IF(B18&lt;=1/3,1,(-B18+SQRT(4*B18-3*B18^2))/(2*B18)),1))</f>
        <v/>
      </c>
      <c r="D18" s="51">
        <f>IF(A18&gt;$B$6+0.0000001,1E+30,$B$5*IF($B$4=3,1.5*(1-C18)^3,IF($B$4=4,2*(1-C18)^4+6*C18*(1-C18)^3,0)))</f>
        <v/>
      </c>
    </row>
    <row r="19">
      <c r="A19" s="51" t="n">
        <v>0.01</v>
      </c>
      <c r="B19" s="52">
        <f>$B$3*A19^2</f>
        <v/>
      </c>
      <c r="C19" s="52">
        <f>IF($B$4=3,IF(B19&lt;=0.5,1,(1-B19)/B19),IF($B$4=4,IF(B19&lt;=1/3,1,(-B19+SQRT(4*B19-3*B19^2))/(2*B19)),1))</f>
        <v/>
      </c>
      <c r="D19" s="51">
        <f>IF(A19&gt;$B$6+0.0000001,1E+30,$B$5*IF($B$4=3,1.5*(1-C19)^3,IF($B$4=4,2*(1-C19)^4+6*C19*(1-C19)^3,0)))</f>
        <v/>
      </c>
    </row>
    <row r="20">
      <c r="A20" s="51" t="n">
        <v>0.011</v>
      </c>
      <c r="B20" s="52">
        <f>$B$3*A20^2</f>
        <v/>
      </c>
      <c r="C20" s="52">
        <f>IF($B$4=3,IF(B20&lt;=0.5,1,(1-B20)/B20),IF($B$4=4,IF(B20&lt;=1/3,1,(-B20+SQRT(4*B20-3*B20^2))/(2*B20)),1))</f>
        <v/>
      </c>
      <c r="D20" s="51">
        <f>IF(A20&gt;$B$6+0.0000001,1E+30,$B$5*IF($B$4=3,1.5*(1-C20)^3,IF($B$4=4,2*(1-C20)^4+6*C20*(1-C20)^3,0)))</f>
        <v/>
      </c>
    </row>
    <row r="21">
      <c r="A21" s="51" t="n">
        <v>0.012</v>
      </c>
      <c r="B21" s="52">
        <f>$B$3*A21^2</f>
        <v/>
      </c>
      <c r="C21" s="52">
        <f>IF($B$4=3,IF(B21&lt;=0.5,1,(1-B21)/B21),IF($B$4=4,IF(B21&lt;=1/3,1,(-B21+SQRT(4*B21-3*B21^2))/(2*B21)),1))</f>
        <v/>
      </c>
      <c r="D21" s="51">
        <f>IF(A21&gt;$B$6+0.0000001,1E+30,$B$5*IF($B$4=3,1.5*(1-C21)^3,IF($B$4=4,2*(1-C21)^4+6*C21*(1-C21)^3,0)))</f>
        <v/>
      </c>
    </row>
    <row r="22">
      <c r="A22" s="51" t="n">
        <v>0.013</v>
      </c>
      <c r="B22" s="52">
        <f>$B$3*A22^2</f>
        <v/>
      </c>
      <c r="C22" s="52">
        <f>IF($B$4=3,IF(B22&lt;=0.5,1,(1-B22)/B22),IF($B$4=4,IF(B22&lt;=1/3,1,(-B22+SQRT(4*B22-3*B22^2))/(2*B22)),1))</f>
        <v/>
      </c>
      <c r="D22" s="51">
        <f>IF(A22&gt;$B$6+0.0000001,1E+30,$B$5*IF($B$4=3,1.5*(1-C22)^3,IF($B$4=4,2*(1-C22)^4+6*C22*(1-C22)^3,0)))</f>
        <v/>
      </c>
    </row>
    <row r="23">
      <c r="A23" s="51" t="n">
        <v>0.014</v>
      </c>
      <c r="B23" s="52">
        <f>$B$3*A23^2</f>
        <v/>
      </c>
      <c r="C23" s="52">
        <f>IF($B$4=3,IF(B23&lt;=0.5,1,(1-B23)/B23),IF($B$4=4,IF(B23&lt;=1/3,1,(-B23+SQRT(4*B23-3*B23^2))/(2*B23)),1))</f>
        <v/>
      </c>
      <c r="D23" s="51">
        <f>IF(A23&gt;$B$6+0.0000001,1E+30,$B$5*IF($B$4=3,1.5*(1-C23)^3,IF($B$4=4,2*(1-C23)^4+6*C23*(1-C23)^3,0)))</f>
        <v/>
      </c>
    </row>
    <row r="24">
      <c r="A24" s="51" t="n">
        <v>0.015</v>
      </c>
      <c r="B24" s="52">
        <f>$B$3*A24^2</f>
        <v/>
      </c>
      <c r="C24" s="52">
        <f>IF($B$4=3,IF(B24&lt;=0.5,1,(1-B24)/B24),IF($B$4=4,IF(B24&lt;=1/3,1,(-B24+SQRT(4*B24-3*B24^2))/(2*B24)),1))</f>
        <v/>
      </c>
      <c r="D24" s="51">
        <f>IF(A24&gt;$B$6+0.0000001,1E+30,$B$5*IF($B$4=3,1.5*(1-C24)^3,IF($B$4=4,2*(1-C24)^4+6*C24*(1-C24)^3,0)))</f>
        <v/>
      </c>
    </row>
    <row r="25">
      <c r="A25" s="51" t="n">
        <v>0.016</v>
      </c>
      <c r="B25" s="52">
        <f>$B$3*A25^2</f>
        <v/>
      </c>
      <c r="C25" s="52">
        <f>IF($B$4=3,IF(B25&lt;=0.5,1,(1-B25)/B25),IF($B$4=4,IF(B25&lt;=1/3,1,(-B25+SQRT(4*B25-3*B25^2))/(2*B25)),1))</f>
        <v/>
      </c>
      <c r="D25" s="51">
        <f>IF(A25&gt;$B$6+0.0000001,1E+30,$B$5*IF($B$4=3,1.5*(1-C25)^3,IF($B$4=4,2*(1-C25)^4+6*C25*(1-C25)^3,0)))</f>
        <v/>
      </c>
    </row>
    <row r="26">
      <c r="A26" s="51" t="n">
        <v>0.017</v>
      </c>
      <c r="B26" s="52">
        <f>$B$3*A26^2</f>
        <v/>
      </c>
      <c r="C26" s="52">
        <f>IF($B$4=3,IF(B26&lt;=0.5,1,(1-B26)/B26),IF($B$4=4,IF(B26&lt;=1/3,1,(-B26+SQRT(4*B26-3*B26^2))/(2*B26)),1))</f>
        <v/>
      </c>
      <c r="D26" s="51">
        <f>IF(A26&gt;$B$6+0.0000001,1E+30,$B$5*IF($B$4=3,1.5*(1-C26)^3,IF($B$4=4,2*(1-C26)^4+6*C26*(1-C26)^3,0)))</f>
        <v/>
      </c>
    </row>
    <row r="27">
      <c r="A27" s="51" t="n">
        <v>0.018</v>
      </c>
      <c r="B27" s="52">
        <f>$B$3*A27^2</f>
        <v/>
      </c>
      <c r="C27" s="52">
        <f>IF($B$4=3,IF(B27&lt;=0.5,1,(1-B27)/B27),IF($B$4=4,IF(B27&lt;=1/3,1,(-B27+SQRT(4*B27-3*B27^2))/(2*B27)),1))</f>
        <v/>
      </c>
      <c r="D27" s="51">
        <f>IF(A27&gt;$B$6+0.0000001,1E+30,$B$5*IF($B$4=3,1.5*(1-C27)^3,IF($B$4=4,2*(1-C27)^4+6*C27*(1-C27)^3,0)))</f>
        <v/>
      </c>
    </row>
    <row r="28">
      <c r="A28" s="51" t="n">
        <v>0.019</v>
      </c>
      <c r="B28" s="52">
        <f>$B$3*A28^2</f>
        <v/>
      </c>
      <c r="C28" s="52">
        <f>IF($B$4=3,IF(B28&lt;=0.5,1,(1-B28)/B28),IF($B$4=4,IF(B28&lt;=1/3,1,(-B28+SQRT(4*B28-3*B28^2))/(2*B28)),1))</f>
        <v/>
      </c>
      <c r="D28" s="51">
        <f>IF(A28&gt;$B$6+0.0000001,1E+30,$B$5*IF($B$4=3,1.5*(1-C28)^3,IF($B$4=4,2*(1-C28)^4+6*C28*(1-C28)^3,0)))</f>
        <v/>
      </c>
    </row>
    <row r="29">
      <c r="A29" s="51" t="n">
        <v>0.02</v>
      </c>
      <c r="B29" s="52">
        <f>$B$3*A29^2</f>
        <v/>
      </c>
      <c r="C29" s="52">
        <f>IF($B$4=3,IF(B29&lt;=0.5,1,(1-B29)/B29),IF($B$4=4,IF(B29&lt;=1/3,1,(-B29+SQRT(4*B29-3*B29^2))/(2*B29)),1))</f>
        <v/>
      </c>
      <c r="D29" s="51">
        <f>IF(A29&gt;$B$6+0.0000001,1E+30,$B$5*IF($B$4=3,1.5*(1-C29)^3,IF($B$4=4,2*(1-C29)^4+6*C29*(1-C29)^3,0)))</f>
        <v/>
      </c>
    </row>
    <row r="30">
      <c r="A30" s="51" t="n">
        <v>0.021</v>
      </c>
      <c r="B30" s="52">
        <f>$B$3*A30^2</f>
        <v/>
      </c>
      <c r="C30" s="52">
        <f>IF($B$4=3,IF(B30&lt;=0.5,1,(1-B30)/B30),IF($B$4=4,IF(B30&lt;=1/3,1,(-B30+SQRT(4*B30-3*B30^2))/(2*B30)),1))</f>
        <v/>
      </c>
      <c r="D30" s="51">
        <f>IF(A30&gt;$B$6+0.0000001,1E+30,$B$5*IF($B$4=3,1.5*(1-C30)^3,IF($B$4=4,2*(1-C30)^4+6*C30*(1-C30)^3,0)))</f>
        <v/>
      </c>
    </row>
    <row r="31">
      <c r="A31" s="51" t="n">
        <v>0.022</v>
      </c>
      <c r="B31" s="52">
        <f>$B$3*A31^2</f>
        <v/>
      </c>
      <c r="C31" s="52">
        <f>IF($B$4=3,IF(B31&lt;=0.5,1,(1-B31)/B31),IF($B$4=4,IF(B31&lt;=1/3,1,(-B31+SQRT(4*B31-3*B31^2))/(2*B31)),1))</f>
        <v/>
      </c>
      <c r="D31" s="51">
        <f>IF(A31&gt;$B$6+0.0000001,1E+30,$B$5*IF($B$4=3,1.5*(1-C31)^3,IF($B$4=4,2*(1-C31)^4+6*C31*(1-C31)^3,0)))</f>
        <v/>
      </c>
    </row>
    <row r="32">
      <c r="A32" s="51" t="n">
        <v>0.023</v>
      </c>
      <c r="B32" s="52">
        <f>$B$3*A32^2</f>
        <v/>
      </c>
      <c r="C32" s="52">
        <f>IF($B$4=3,IF(B32&lt;=0.5,1,(1-B32)/B32),IF($B$4=4,IF(B32&lt;=1/3,1,(-B32+SQRT(4*B32-3*B32^2))/(2*B32)),1))</f>
        <v/>
      </c>
      <c r="D32" s="51">
        <f>IF(A32&gt;$B$6+0.0000001,1E+30,$B$5*IF($B$4=3,1.5*(1-C32)^3,IF($B$4=4,2*(1-C32)^4+6*C32*(1-C32)^3,0)))</f>
        <v/>
      </c>
    </row>
    <row r="33">
      <c r="A33" s="51" t="n">
        <v>0.024</v>
      </c>
      <c r="B33" s="52">
        <f>$B$3*A33^2</f>
        <v/>
      </c>
      <c r="C33" s="52">
        <f>IF($B$4=3,IF(B33&lt;=0.5,1,(1-B33)/B33),IF($B$4=4,IF(B33&lt;=1/3,1,(-B33+SQRT(4*B33-3*B33^2))/(2*B33)),1))</f>
        <v/>
      </c>
      <c r="D33" s="51">
        <f>IF(A33&gt;$B$6+0.0000001,1E+30,$B$5*IF($B$4=3,1.5*(1-C33)^3,IF($B$4=4,2*(1-C33)^4+6*C33*(1-C33)^3,0)))</f>
        <v/>
      </c>
    </row>
    <row r="34">
      <c r="A34" s="51" t="n">
        <v>0.025</v>
      </c>
      <c r="B34" s="52">
        <f>$B$3*A34^2</f>
        <v/>
      </c>
      <c r="C34" s="52">
        <f>IF($B$4=3,IF(B34&lt;=0.5,1,(1-B34)/B34),IF($B$4=4,IF(B34&lt;=1/3,1,(-B34+SQRT(4*B34-3*B34^2))/(2*B34)),1))</f>
        <v/>
      </c>
      <c r="D34" s="51">
        <f>IF(A34&gt;$B$6+0.0000001,1E+30,$B$5*IF($B$4=3,1.5*(1-C34)^3,IF($B$4=4,2*(1-C34)^4+6*C34*(1-C34)^3,0)))</f>
        <v/>
      </c>
    </row>
    <row r="35">
      <c r="A35" s="51" t="n">
        <v>0.026</v>
      </c>
      <c r="B35" s="52">
        <f>$B$3*A35^2</f>
        <v/>
      </c>
      <c r="C35" s="52">
        <f>IF($B$4=3,IF(B35&lt;=0.5,1,(1-B35)/B35),IF($B$4=4,IF(B35&lt;=1/3,1,(-B35+SQRT(4*B35-3*B35^2))/(2*B35)),1))</f>
        <v/>
      </c>
      <c r="D35" s="51">
        <f>IF(A35&gt;$B$6+0.0000001,1E+30,$B$5*IF($B$4=3,1.5*(1-C35)^3,IF($B$4=4,2*(1-C35)^4+6*C35*(1-C35)^3,0)))</f>
        <v/>
      </c>
    </row>
    <row r="36">
      <c r="A36" s="51" t="n">
        <v>0.027</v>
      </c>
      <c r="B36" s="52">
        <f>$B$3*A36^2</f>
        <v/>
      </c>
      <c r="C36" s="52">
        <f>IF($B$4=3,IF(B36&lt;=0.5,1,(1-B36)/B36),IF($B$4=4,IF(B36&lt;=1/3,1,(-B36+SQRT(4*B36-3*B36^2))/(2*B36)),1))</f>
        <v/>
      </c>
      <c r="D36" s="51">
        <f>IF(A36&gt;$B$6+0.0000001,1E+30,$B$5*IF($B$4=3,1.5*(1-C36)^3,IF($B$4=4,2*(1-C36)^4+6*C36*(1-C36)^3,0)))</f>
        <v/>
      </c>
    </row>
    <row r="37">
      <c r="A37" s="51" t="n">
        <v>0.028</v>
      </c>
      <c r="B37" s="52">
        <f>$B$3*A37^2</f>
        <v/>
      </c>
      <c r="C37" s="52">
        <f>IF($B$4=3,IF(B37&lt;=0.5,1,(1-B37)/B37),IF($B$4=4,IF(B37&lt;=1/3,1,(-B37+SQRT(4*B37-3*B37^2))/(2*B37)),1))</f>
        <v/>
      </c>
      <c r="D37" s="51">
        <f>IF(A37&gt;$B$6+0.0000001,1E+30,$B$5*IF($B$4=3,1.5*(1-C37)^3,IF($B$4=4,2*(1-C37)^4+6*C37*(1-C37)^3,0)))</f>
        <v/>
      </c>
    </row>
    <row r="38">
      <c r="A38" s="51" t="n">
        <v>0.029</v>
      </c>
      <c r="B38" s="52">
        <f>$B$3*A38^2</f>
        <v/>
      </c>
      <c r="C38" s="52">
        <f>IF($B$4=3,IF(B38&lt;=0.5,1,(1-B38)/B38),IF($B$4=4,IF(B38&lt;=1/3,1,(-B38+SQRT(4*B38-3*B38^2))/(2*B38)),1))</f>
        <v/>
      </c>
      <c r="D38" s="51">
        <f>IF(A38&gt;$B$6+0.0000001,1E+30,$B$5*IF($B$4=3,1.5*(1-C38)^3,IF($B$4=4,2*(1-C38)^4+6*C38*(1-C38)^3,0)))</f>
        <v/>
      </c>
    </row>
    <row r="39">
      <c r="A39" s="51" t="n">
        <v>0.03</v>
      </c>
      <c r="B39" s="52">
        <f>$B$3*A39^2</f>
        <v/>
      </c>
      <c r="C39" s="52">
        <f>IF($B$4=3,IF(B39&lt;=0.5,1,(1-B39)/B39),IF($B$4=4,IF(B39&lt;=1/3,1,(-B39+SQRT(4*B39-3*B39^2))/(2*B39)),1))</f>
        <v/>
      </c>
      <c r="D39" s="51">
        <f>IF(A39&gt;$B$6+0.0000001,1E+30,$B$5*IF($B$4=3,1.5*(1-C39)^3,IF($B$4=4,2*(1-C39)^4+6*C39*(1-C39)^3,0)))</f>
        <v/>
      </c>
    </row>
    <row r="40">
      <c r="A40" s="51" t="n">
        <v>0.031</v>
      </c>
      <c r="B40" s="52">
        <f>$B$3*A40^2</f>
        <v/>
      </c>
      <c r="C40" s="52">
        <f>IF($B$4=3,IF(B40&lt;=0.5,1,(1-B40)/B40),IF($B$4=4,IF(B40&lt;=1/3,1,(-B40+SQRT(4*B40-3*B40^2))/(2*B40)),1))</f>
        <v/>
      </c>
      <c r="D40" s="51">
        <f>IF(A40&gt;$B$6+0.0000001,1E+30,$B$5*IF($B$4=3,1.5*(1-C40)^3,IF($B$4=4,2*(1-C40)^4+6*C40*(1-C40)^3,0)))</f>
        <v/>
      </c>
    </row>
    <row r="41">
      <c r="A41" s="51" t="n">
        <v>0.032</v>
      </c>
      <c r="B41" s="52">
        <f>$B$3*A41^2</f>
        <v/>
      </c>
      <c r="C41" s="52">
        <f>IF($B$4=3,IF(B41&lt;=0.5,1,(1-B41)/B41),IF($B$4=4,IF(B41&lt;=1/3,1,(-B41+SQRT(4*B41-3*B41^2))/(2*B41)),1))</f>
        <v/>
      </c>
      <c r="D41" s="51">
        <f>IF(A41&gt;$B$6+0.0000001,1E+30,$B$5*IF($B$4=3,1.5*(1-C41)^3,IF($B$4=4,2*(1-C41)^4+6*C41*(1-C41)^3,0)))</f>
        <v/>
      </c>
    </row>
    <row r="42">
      <c r="A42" s="51" t="n">
        <v>0.033</v>
      </c>
      <c r="B42" s="52">
        <f>$B$3*A42^2</f>
        <v/>
      </c>
      <c r="C42" s="52">
        <f>IF($B$4=3,IF(B42&lt;=0.5,1,(1-B42)/B42),IF($B$4=4,IF(B42&lt;=1/3,1,(-B42+SQRT(4*B42-3*B42^2))/(2*B42)),1))</f>
        <v/>
      </c>
      <c r="D42" s="51">
        <f>IF(A42&gt;$B$6+0.0000001,1E+30,$B$5*IF($B$4=3,1.5*(1-C42)^3,IF($B$4=4,2*(1-C42)^4+6*C42*(1-C42)^3,0)))</f>
        <v/>
      </c>
    </row>
    <row r="43">
      <c r="A43" s="51" t="n">
        <v>0.034</v>
      </c>
      <c r="B43" s="52">
        <f>$B$3*A43^2</f>
        <v/>
      </c>
      <c r="C43" s="52">
        <f>IF($B$4=3,IF(B43&lt;=0.5,1,(1-B43)/B43),IF($B$4=4,IF(B43&lt;=1/3,1,(-B43+SQRT(4*B43-3*B43^2))/(2*B43)),1))</f>
        <v/>
      </c>
      <c r="D43" s="51">
        <f>IF(A43&gt;$B$6+0.0000001,1E+30,$B$5*IF($B$4=3,1.5*(1-C43)^3,IF($B$4=4,2*(1-C43)^4+6*C43*(1-C43)^3,0)))</f>
        <v/>
      </c>
    </row>
    <row r="44">
      <c r="A44" s="51" t="n">
        <v>0.035</v>
      </c>
      <c r="B44" s="52">
        <f>$B$3*A44^2</f>
        <v/>
      </c>
      <c r="C44" s="52">
        <f>IF($B$4=3,IF(B44&lt;=0.5,1,(1-B44)/B44),IF($B$4=4,IF(B44&lt;=1/3,1,(-B44+SQRT(4*B44-3*B44^2))/(2*B44)),1))</f>
        <v/>
      </c>
      <c r="D44" s="51">
        <f>IF(A44&gt;$B$6+0.0000001,1E+30,$B$5*IF($B$4=3,1.5*(1-C44)^3,IF($B$4=4,2*(1-C44)^4+6*C44*(1-C44)^3,0)))</f>
        <v/>
      </c>
    </row>
    <row r="45">
      <c r="A45" s="51" t="n">
        <v>0.036</v>
      </c>
      <c r="B45" s="52">
        <f>$B$3*A45^2</f>
        <v/>
      </c>
      <c r="C45" s="52">
        <f>IF($B$4=3,IF(B45&lt;=0.5,1,(1-B45)/B45),IF($B$4=4,IF(B45&lt;=1/3,1,(-B45+SQRT(4*B45-3*B45^2))/(2*B45)),1))</f>
        <v/>
      </c>
      <c r="D45" s="51">
        <f>IF(A45&gt;$B$6+0.0000001,1E+30,$B$5*IF($B$4=3,1.5*(1-C45)^3,IF($B$4=4,2*(1-C45)^4+6*C45*(1-C45)^3,0)))</f>
        <v/>
      </c>
    </row>
    <row r="46">
      <c r="A46" s="51" t="n">
        <v>0.037</v>
      </c>
      <c r="B46" s="52">
        <f>$B$3*A46^2</f>
        <v/>
      </c>
      <c r="C46" s="52">
        <f>IF($B$4=3,IF(B46&lt;=0.5,1,(1-B46)/B46),IF($B$4=4,IF(B46&lt;=1/3,1,(-B46+SQRT(4*B46-3*B46^2))/(2*B46)),1))</f>
        <v/>
      </c>
      <c r="D46" s="51">
        <f>IF(A46&gt;$B$6+0.0000001,1E+30,$B$5*IF($B$4=3,1.5*(1-C46)^3,IF($B$4=4,2*(1-C46)^4+6*C46*(1-C46)^3,0)))</f>
        <v/>
      </c>
    </row>
    <row r="47">
      <c r="A47" s="51" t="n">
        <v>0.038</v>
      </c>
      <c r="B47" s="52">
        <f>$B$3*A47^2</f>
        <v/>
      </c>
      <c r="C47" s="52">
        <f>IF($B$4=3,IF(B47&lt;=0.5,1,(1-B47)/B47),IF($B$4=4,IF(B47&lt;=1/3,1,(-B47+SQRT(4*B47-3*B47^2))/(2*B47)),1))</f>
        <v/>
      </c>
      <c r="D47" s="51">
        <f>IF(A47&gt;$B$6+0.0000001,1E+30,$B$5*IF($B$4=3,1.5*(1-C47)^3,IF($B$4=4,2*(1-C47)^4+6*C47*(1-C47)^3,0)))</f>
        <v/>
      </c>
    </row>
    <row r="48">
      <c r="A48" s="51" t="n">
        <v>0.039</v>
      </c>
      <c r="B48" s="52">
        <f>$B$3*A48^2</f>
        <v/>
      </c>
      <c r="C48" s="52">
        <f>IF($B$4=3,IF(B48&lt;=0.5,1,(1-B48)/B48),IF($B$4=4,IF(B48&lt;=1/3,1,(-B48+SQRT(4*B48-3*B48^2))/(2*B48)),1))</f>
        <v/>
      </c>
      <c r="D48" s="51">
        <f>IF(A48&gt;$B$6+0.0000001,1E+30,$B$5*IF($B$4=3,1.5*(1-C48)^3,IF($B$4=4,2*(1-C48)^4+6*C48*(1-C48)^3,0)))</f>
        <v/>
      </c>
    </row>
    <row r="49">
      <c r="A49" s="51" t="n">
        <v>0.04</v>
      </c>
      <c r="B49" s="52">
        <f>$B$3*A49^2</f>
        <v/>
      </c>
      <c r="C49" s="52">
        <f>IF($B$4=3,IF(B49&lt;=0.5,1,(1-B49)/B49),IF($B$4=4,IF(B49&lt;=1/3,1,(-B49+SQRT(4*B49-3*B49^2))/(2*B49)),1))</f>
        <v/>
      </c>
      <c r="D49" s="51">
        <f>IF(A49&gt;$B$6+0.0000001,1E+30,$B$5*IF($B$4=3,1.5*(1-C49)^3,IF($B$4=4,2*(1-C49)^4+6*C49*(1-C49)^3,0)))</f>
        <v/>
      </c>
    </row>
    <row r="50">
      <c r="A50" s="51" t="n">
        <v>0.041</v>
      </c>
      <c r="B50" s="52">
        <f>$B$3*A50^2</f>
        <v/>
      </c>
      <c r="C50" s="52">
        <f>IF($B$4=3,IF(B50&lt;=0.5,1,(1-B50)/B50),IF($B$4=4,IF(B50&lt;=1/3,1,(-B50+SQRT(4*B50-3*B50^2))/(2*B50)),1))</f>
        <v/>
      </c>
      <c r="D50" s="51">
        <f>IF(A50&gt;$B$6+0.0000001,1E+30,$B$5*IF($B$4=3,1.5*(1-C50)^3,IF($B$4=4,2*(1-C50)^4+6*C50*(1-C50)^3,0)))</f>
        <v/>
      </c>
    </row>
    <row r="51">
      <c r="A51" s="51" t="n">
        <v>0.042</v>
      </c>
      <c r="B51" s="52">
        <f>$B$3*A51^2</f>
        <v/>
      </c>
      <c r="C51" s="52">
        <f>IF($B$4=3,IF(B51&lt;=0.5,1,(1-B51)/B51),IF($B$4=4,IF(B51&lt;=1/3,1,(-B51+SQRT(4*B51-3*B51^2))/(2*B51)),1))</f>
        <v/>
      </c>
      <c r="D51" s="51">
        <f>IF(A51&gt;$B$6+0.0000001,1E+30,$B$5*IF($B$4=3,1.5*(1-C51)^3,IF($B$4=4,2*(1-C51)^4+6*C51*(1-C51)^3,0)))</f>
        <v/>
      </c>
    </row>
    <row r="52">
      <c r="A52" s="51" t="n">
        <v>0.043</v>
      </c>
      <c r="B52" s="52">
        <f>$B$3*A52^2</f>
        <v/>
      </c>
      <c r="C52" s="52">
        <f>IF($B$4=3,IF(B52&lt;=0.5,1,(1-B52)/B52),IF($B$4=4,IF(B52&lt;=1/3,1,(-B52+SQRT(4*B52-3*B52^2))/(2*B52)),1))</f>
        <v/>
      </c>
      <c r="D52" s="51">
        <f>IF(A52&gt;$B$6+0.0000001,1E+30,$B$5*IF($B$4=3,1.5*(1-C52)^3,IF($B$4=4,2*(1-C52)^4+6*C52*(1-C52)^3,0)))</f>
        <v/>
      </c>
    </row>
    <row r="53">
      <c r="A53" s="51" t="n">
        <v>0.044</v>
      </c>
      <c r="B53" s="52">
        <f>$B$3*A53^2</f>
        <v/>
      </c>
      <c r="C53" s="52">
        <f>IF($B$4=3,IF(B53&lt;=0.5,1,(1-B53)/B53),IF($B$4=4,IF(B53&lt;=1/3,1,(-B53+SQRT(4*B53-3*B53^2))/(2*B53)),1))</f>
        <v/>
      </c>
      <c r="D53" s="51">
        <f>IF(A53&gt;$B$6+0.0000001,1E+30,$B$5*IF($B$4=3,1.5*(1-C53)^3,IF($B$4=4,2*(1-C53)^4+6*C53*(1-C53)^3,0)))</f>
        <v/>
      </c>
    </row>
    <row r="54">
      <c r="A54" s="51" t="n">
        <v>0.045</v>
      </c>
      <c r="B54" s="52">
        <f>$B$3*A54^2</f>
        <v/>
      </c>
      <c r="C54" s="52">
        <f>IF($B$4=3,IF(B54&lt;=0.5,1,(1-B54)/B54),IF($B$4=4,IF(B54&lt;=1/3,1,(-B54+SQRT(4*B54-3*B54^2))/(2*B54)),1))</f>
        <v/>
      </c>
      <c r="D54" s="51">
        <f>IF(A54&gt;$B$6+0.0000001,1E+30,$B$5*IF($B$4=3,1.5*(1-C54)^3,IF($B$4=4,2*(1-C54)^4+6*C54*(1-C54)^3,0)))</f>
        <v/>
      </c>
    </row>
    <row r="55">
      <c r="A55" s="51" t="n">
        <v>0.046</v>
      </c>
      <c r="B55" s="52">
        <f>$B$3*A55^2</f>
        <v/>
      </c>
      <c r="C55" s="52">
        <f>IF($B$4=3,IF(B55&lt;=0.5,1,(1-B55)/B55),IF($B$4=4,IF(B55&lt;=1/3,1,(-B55+SQRT(4*B55-3*B55^2))/(2*B55)),1))</f>
        <v/>
      </c>
      <c r="D55" s="51">
        <f>IF(A55&gt;$B$6+0.0000001,1E+30,$B$5*IF($B$4=3,1.5*(1-C55)^3,IF($B$4=4,2*(1-C55)^4+6*C55*(1-C55)^3,0)))</f>
        <v/>
      </c>
    </row>
    <row r="56">
      <c r="A56" s="51" t="n">
        <v>0.047</v>
      </c>
      <c r="B56" s="52">
        <f>$B$3*A56^2</f>
        <v/>
      </c>
      <c r="C56" s="52">
        <f>IF($B$4=3,IF(B56&lt;=0.5,1,(1-B56)/B56),IF($B$4=4,IF(B56&lt;=1/3,1,(-B56+SQRT(4*B56-3*B56^2))/(2*B56)),1))</f>
        <v/>
      </c>
      <c r="D56" s="51">
        <f>IF(A56&gt;$B$6+0.0000001,1E+30,$B$5*IF($B$4=3,1.5*(1-C56)^3,IF($B$4=4,2*(1-C56)^4+6*C56*(1-C56)^3,0)))</f>
        <v/>
      </c>
    </row>
    <row r="57">
      <c r="A57" s="51" t="n">
        <v>0.048</v>
      </c>
      <c r="B57" s="52">
        <f>$B$3*A57^2</f>
        <v/>
      </c>
      <c r="C57" s="52">
        <f>IF($B$4=3,IF(B57&lt;=0.5,1,(1-B57)/B57),IF($B$4=4,IF(B57&lt;=1/3,1,(-B57+SQRT(4*B57-3*B57^2))/(2*B57)),1))</f>
        <v/>
      </c>
      <c r="D57" s="51">
        <f>IF(A57&gt;$B$6+0.0000001,1E+30,$B$5*IF($B$4=3,1.5*(1-C57)^3,IF($B$4=4,2*(1-C57)^4+6*C57*(1-C57)^3,0)))</f>
        <v/>
      </c>
    </row>
    <row r="58">
      <c r="A58" s="51" t="n">
        <v>0.049</v>
      </c>
      <c r="B58" s="52">
        <f>$B$3*A58^2</f>
        <v/>
      </c>
      <c r="C58" s="52">
        <f>IF($B$4=3,IF(B58&lt;=0.5,1,(1-B58)/B58),IF($B$4=4,IF(B58&lt;=1/3,1,(-B58+SQRT(4*B58-3*B58^2))/(2*B58)),1))</f>
        <v/>
      </c>
      <c r="D58" s="51">
        <f>IF(A58&gt;$B$6+0.0000001,1E+30,$B$5*IF($B$4=3,1.5*(1-C58)^3,IF($B$4=4,2*(1-C58)^4+6*C58*(1-C58)^3,0)))</f>
        <v/>
      </c>
    </row>
    <row r="59">
      <c r="A59" s="51" t="n">
        <v>0.05</v>
      </c>
      <c r="B59" s="52">
        <f>$B$3*A59^2</f>
        <v/>
      </c>
      <c r="C59" s="52">
        <f>IF($B$4=3,IF(B59&lt;=0.5,1,(1-B59)/B59),IF($B$4=4,IF(B59&lt;=1/3,1,(-B59+SQRT(4*B59-3*B59^2))/(2*B59)),1))</f>
        <v/>
      </c>
      <c r="D59" s="51">
        <f>IF(A59&gt;$B$6+0.0000001,1E+30,$B$5*IF($B$4=3,1.5*(1-C59)^3,IF($B$4=4,2*(1-C59)^4+6*C59*(1-C59)^3,0)))</f>
        <v/>
      </c>
    </row>
    <row r="60">
      <c r="A60" s="51" t="n">
        <v>0.051</v>
      </c>
      <c r="B60" s="52">
        <f>$B$3*A60^2</f>
        <v/>
      </c>
      <c r="C60" s="52">
        <f>IF($B$4=3,IF(B60&lt;=0.5,1,(1-B60)/B60),IF($B$4=4,IF(B60&lt;=1/3,1,(-B60+SQRT(4*B60-3*B60^2))/(2*B60)),1))</f>
        <v/>
      </c>
      <c r="D60" s="51">
        <f>IF(A60&gt;$B$6+0.0000001,1E+30,$B$5*IF($B$4=3,1.5*(1-C60)^3,IF($B$4=4,2*(1-C60)^4+6*C60*(1-C60)^3,0)))</f>
        <v/>
      </c>
    </row>
    <row r="61">
      <c r="A61" s="51" t="n">
        <v>0.052</v>
      </c>
      <c r="B61" s="52">
        <f>$B$3*A61^2</f>
        <v/>
      </c>
      <c r="C61" s="52">
        <f>IF($B$4=3,IF(B61&lt;=0.5,1,(1-B61)/B61),IF($B$4=4,IF(B61&lt;=1/3,1,(-B61+SQRT(4*B61-3*B61^2))/(2*B61)),1))</f>
        <v/>
      </c>
      <c r="D61" s="51">
        <f>IF(A61&gt;$B$6+0.0000001,1E+30,$B$5*IF($B$4=3,1.5*(1-C61)^3,IF($B$4=4,2*(1-C61)^4+6*C61*(1-C61)^3,0)))</f>
        <v/>
      </c>
    </row>
    <row r="62">
      <c r="A62" s="51" t="n">
        <v>0.053</v>
      </c>
      <c r="B62" s="52">
        <f>$B$3*A62^2</f>
        <v/>
      </c>
      <c r="C62" s="52">
        <f>IF($B$4=3,IF(B62&lt;=0.5,1,(1-B62)/B62),IF($B$4=4,IF(B62&lt;=1/3,1,(-B62+SQRT(4*B62-3*B62^2))/(2*B62)),1))</f>
        <v/>
      </c>
      <c r="D62" s="51">
        <f>IF(A62&gt;$B$6+0.0000001,1E+30,$B$5*IF($B$4=3,1.5*(1-C62)^3,IF($B$4=4,2*(1-C62)^4+6*C62*(1-C62)^3,0)))</f>
        <v/>
      </c>
    </row>
    <row r="63">
      <c r="A63" s="51" t="n">
        <v>0.054</v>
      </c>
      <c r="B63" s="52">
        <f>$B$3*A63^2</f>
        <v/>
      </c>
      <c r="C63" s="52">
        <f>IF($B$4=3,IF(B63&lt;=0.5,1,(1-B63)/B63),IF($B$4=4,IF(B63&lt;=1/3,1,(-B63+SQRT(4*B63-3*B63^2))/(2*B63)),1))</f>
        <v/>
      </c>
      <c r="D63" s="51">
        <f>IF(A63&gt;$B$6+0.0000001,1E+30,$B$5*IF($B$4=3,1.5*(1-C63)^3,IF($B$4=4,2*(1-C63)^4+6*C63*(1-C63)^3,0)))</f>
        <v/>
      </c>
    </row>
    <row r="64">
      <c r="A64" s="51" t="n">
        <v>0.055</v>
      </c>
      <c r="B64" s="52">
        <f>$B$3*A64^2</f>
        <v/>
      </c>
      <c r="C64" s="52">
        <f>IF($B$4=3,IF(B64&lt;=0.5,1,(1-B64)/B64),IF($B$4=4,IF(B64&lt;=1/3,1,(-B64+SQRT(4*B64-3*B64^2))/(2*B64)),1))</f>
        <v/>
      </c>
      <c r="D64" s="51">
        <f>IF(A64&gt;$B$6+0.0000001,1E+30,$B$5*IF($B$4=3,1.5*(1-C64)^3,IF($B$4=4,2*(1-C64)^4+6*C64*(1-C64)^3,0)))</f>
        <v/>
      </c>
    </row>
    <row r="65">
      <c r="A65" s="51" t="n">
        <v>0.056</v>
      </c>
      <c r="B65" s="52">
        <f>$B$3*A65^2</f>
        <v/>
      </c>
      <c r="C65" s="52">
        <f>IF($B$4=3,IF(B65&lt;=0.5,1,(1-B65)/B65),IF($B$4=4,IF(B65&lt;=1/3,1,(-B65+SQRT(4*B65-3*B65^2))/(2*B65)),1))</f>
        <v/>
      </c>
      <c r="D65" s="51">
        <f>IF(A65&gt;$B$6+0.0000001,1E+30,$B$5*IF($B$4=3,1.5*(1-C65)^3,IF($B$4=4,2*(1-C65)^4+6*C65*(1-C65)^3,0)))</f>
        <v/>
      </c>
    </row>
    <row r="66">
      <c r="A66" s="51" t="n">
        <v>0.057</v>
      </c>
      <c r="B66" s="52">
        <f>$B$3*A66^2</f>
        <v/>
      </c>
      <c r="C66" s="52">
        <f>IF($B$4=3,IF(B66&lt;=0.5,1,(1-B66)/B66),IF($B$4=4,IF(B66&lt;=1/3,1,(-B66+SQRT(4*B66-3*B66^2))/(2*B66)),1))</f>
        <v/>
      </c>
      <c r="D66" s="51">
        <f>IF(A66&gt;$B$6+0.0000001,1E+30,$B$5*IF($B$4=3,1.5*(1-C66)^3,IF($B$4=4,2*(1-C66)^4+6*C66*(1-C66)^3,0)))</f>
        <v/>
      </c>
    </row>
    <row r="67">
      <c r="A67" s="51" t="n">
        <v>0.058</v>
      </c>
      <c r="B67" s="52">
        <f>$B$3*A67^2</f>
        <v/>
      </c>
      <c r="C67" s="52">
        <f>IF($B$4=3,IF(B67&lt;=0.5,1,(1-B67)/B67),IF($B$4=4,IF(B67&lt;=1/3,1,(-B67+SQRT(4*B67-3*B67^2))/(2*B67)),1))</f>
        <v/>
      </c>
      <c r="D67" s="51">
        <f>IF(A67&gt;$B$6+0.0000001,1E+30,$B$5*IF($B$4=3,1.5*(1-C67)^3,IF($B$4=4,2*(1-C67)^4+6*C67*(1-C67)^3,0)))</f>
        <v/>
      </c>
    </row>
    <row r="68">
      <c r="A68" s="51" t="n">
        <v>0.059</v>
      </c>
      <c r="B68" s="52">
        <f>$B$3*A68^2</f>
        <v/>
      </c>
      <c r="C68" s="52">
        <f>IF($B$4=3,IF(B68&lt;=0.5,1,(1-B68)/B68),IF($B$4=4,IF(B68&lt;=1/3,1,(-B68+SQRT(4*B68-3*B68^2))/(2*B68)),1))</f>
        <v/>
      </c>
      <c r="D68" s="51">
        <f>IF(A68&gt;$B$6+0.0000001,1E+30,$B$5*IF($B$4=3,1.5*(1-C68)^3,IF($B$4=4,2*(1-C68)^4+6*C68*(1-C68)^3,0)))</f>
        <v/>
      </c>
    </row>
    <row r="69">
      <c r="A69" s="51" t="n">
        <v>0.06</v>
      </c>
      <c r="B69" s="52">
        <f>$B$3*A69^2</f>
        <v/>
      </c>
      <c r="C69" s="52">
        <f>IF($B$4=3,IF(B69&lt;=0.5,1,(1-B69)/B69),IF($B$4=4,IF(B69&lt;=1/3,1,(-B69+SQRT(4*B69-3*B69^2))/(2*B69)),1))</f>
        <v/>
      </c>
      <c r="D69" s="51">
        <f>IF(A69&gt;$B$6+0.0000001,1E+30,$B$5*IF($B$4=3,1.5*(1-C69)^3,IF($B$4=4,2*(1-C69)^4+6*C69*(1-C69)^3,0)))</f>
        <v/>
      </c>
    </row>
    <row r="70">
      <c r="A70" s="51" t="n">
        <v>0.061</v>
      </c>
      <c r="B70" s="52">
        <f>$B$3*A70^2</f>
        <v/>
      </c>
      <c r="C70" s="52">
        <f>IF($B$4=3,IF(B70&lt;=0.5,1,(1-B70)/B70),IF($B$4=4,IF(B70&lt;=1/3,1,(-B70+SQRT(4*B70-3*B70^2))/(2*B70)),1))</f>
        <v/>
      </c>
      <c r="D70" s="51">
        <f>IF(A70&gt;$B$6+0.0000001,1E+30,$B$5*IF($B$4=3,1.5*(1-C70)^3,IF($B$4=4,2*(1-C70)^4+6*C70*(1-C70)^3,0)))</f>
        <v/>
      </c>
    </row>
    <row r="71">
      <c r="A71" s="51" t="n">
        <v>0.062</v>
      </c>
      <c r="B71" s="52">
        <f>$B$3*A71^2</f>
        <v/>
      </c>
      <c r="C71" s="52">
        <f>IF($B$4=3,IF(B71&lt;=0.5,1,(1-B71)/B71),IF($B$4=4,IF(B71&lt;=1/3,1,(-B71+SQRT(4*B71-3*B71^2))/(2*B71)),1))</f>
        <v/>
      </c>
      <c r="D71" s="51">
        <f>IF(A71&gt;$B$6+0.0000001,1E+30,$B$5*IF($B$4=3,1.5*(1-C71)^3,IF($B$4=4,2*(1-C71)^4+6*C71*(1-C71)^3,0)))</f>
        <v/>
      </c>
    </row>
    <row r="72">
      <c r="A72" s="51" t="n">
        <v>0.063</v>
      </c>
      <c r="B72" s="52">
        <f>$B$3*A72^2</f>
        <v/>
      </c>
      <c r="C72" s="52">
        <f>IF($B$4=3,IF(B72&lt;=0.5,1,(1-B72)/B72),IF($B$4=4,IF(B72&lt;=1/3,1,(-B72+SQRT(4*B72-3*B72^2))/(2*B72)),1))</f>
        <v/>
      </c>
      <c r="D72" s="51">
        <f>IF(A72&gt;$B$6+0.0000001,1E+30,$B$5*IF($B$4=3,1.5*(1-C72)^3,IF($B$4=4,2*(1-C72)^4+6*C72*(1-C72)^3,0)))</f>
        <v/>
      </c>
    </row>
    <row r="73">
      <c r="A73" s="51" t="n">
        <v>0.064</v>
      </c>
      <c r="B73" s="52">
        <f>$B$3*A73^2</f>
        <v/>
      </c>
      <c r="C73" s="52">
        <f>IF($B$4=3,IF(B73&lt;=0.5,1,(1-B73)/B73),IF($B$4=4,IF(B73&lt;=1/3,1,(-B73+SQRT(4*B73-3*B73^2))/(2*B73)),1))</f>
        <v/>
      </c>
      <c r="D73" s="51">
        <f>IF(A73&gt;$B$6+0.0000001,1E+30,$B$5*IF($B$4=3,1.5*(1-C73)^3,IF($B$4=4,2*(1-C73)^4+6*C73*(1-C73)^3,0)))</f>
        <v/>
      </c>
    </row>
    <row r="74">
      <c r="A74" s="51" t="n">
        <v>0.065</v>
      </c>
      <c r="B74" s="52">
        <f>$B$3*A74^2</f>
        <v/>
      </c>
      <c r="C74" s="52">
        <f>IF($B$4=3,IF(B74&lt;=0.5,1,(1-B74)/B74),IF($B$4=4,IF(B74&lt;=1/3,1,(-B74+SQRT(4*B74-3*B74^2))/(2*B74)),1))</f>
        <v/>
      </c>
      <c r="D74" s="51">
        <f>IF(A74&gt;$B$6+0.0000001,1E+30,$B$5*IF($B$4=3,1.5*(1-C74)^3,IF($B$4=4,2*(1-C74)^4+6*C74*(1-C74)^3,0)))</f>
        <v/>
      </c>
    </row>
    <row r="75">
      <c r="A75" s="51" t="n">
        <v>0.066</v>
      </c>
      <c r="B75" s="52">
        <f>$B$3*A75^2</f>
        <v/>
      </c>
      <c r="C75" s="52">
        <f>IF($B$4=3,IF(B75&lt;=0.5,1,(1-B75)/B75),IF($B$4=4,IF(B75&lt;=1/3,1,(-B75+SQRT(4*B75-3*B75^2))/(2*B75)),1))</f>
        <v/>
      </c>
      <c r="D75" s="51">
        <f>IF(A75&gt;$B$6+0.0000001,1E+30,$B$5*IF($B$4=3,1.5*(1-C75)^3,IF($B$4=4,2*(1-C75)^4+6*C75*(1-C75)^3,0)))</f>
        <v/>
      </c>
    </row>
    <row r="76">
      <c r="A76" s="51" t="n">
        <v>0.067</v>
      </c>
      <c r="B76" s="52">
        <f>$B$3*A76^2</f>
        <v/>
      </c>
      <c r="C76" s="52">
        <f>IF($B$4=3,IF(B76&lt;=0.5,1,(1-B76)/B76),IF($B$4=4,IF(B76&lt;=1/3,1,(-B76+SQRT(4*B76-3*B76^2))/(2*B76)),1))</f>
        <v/>
      </c>
      <c r="D76" s="51">
        <f>IF(A76&gt;$B$6+0.0000001,1E+30,$B$5*IF($B$4=3,1.5*(1-C76)^3,IF($B$4=4,2*(1-C76)^4+6*C76*(1-C76)^3,0)))</f>
        <v/>
      </c>
    </row>
    <row r="77">
      <c r="A77" s="51" t="n">
        <v>0.068</v>
      </c>
      <c r="B77" s="52">
        <f>$B$3*A77^2</f>
        <v/>
      </c>
      <c r="C77" s="52">
        <f>IF($B$4=3,IF(B77&lt;=0.5,1,(1-B77)/B77),IF($B$4=4,IF(B77&lt;=1/3,1,(-B77+SQRT(4*B77-3*B77^2))/(2*B77)),1))</f>
        <v/>
      </c>
      <c r="D77" s="51">
        <f>IF(A77&gt;$B$6+0.0000001,1E+30,$B$5*IF($B$4=3,1.5*(1-C77)^3,IF($B$4=4,2*(1-C77)^4+6*C77*(1-C77)^3,0)))</f>
        <v/>
      </c>
    </row>
    <row r="78">
      <c r="A78" s="51" t="n">
        <v>0.06900000000000001</v>
      </c>
      <c r="B78" s="52">
        <f>$B$3*A78^2</f>
        <v/>
      </c>
      <c r="C78" s="52">
        <f>IF($B$4=3,IF(B78&lt;=0.5,1,(1-B78)/B78),IF($B$4=4,IF(B78&lt;=1/3,1,(-B78+SQRT(4*B78-3*B78^2))/(2*B78)),1))</f>
        <v/>
      </c>
      <c r="D78" s="51">
        <f>IF(A78&gt;$B$6+0.0000001,1E+30,$B$5*IF($B$4=3,1.5*(1-C78)^3,IF($B$4=4,2*(1-C78)^4+6*C78*(1-C78)^3,0)))</f>
        <v/>
      </c>
    </row>
    <row r="79">
      <c r="A79" s="51" t="n">
        <v>0.07000000000000001</v>
      </c>
      <c r="B79" s="52">
        <f>$B$3*A79^2</f>
        <v/>
      </c>
      <c r="C79" s="52">
        <f>IF($B$4=3,IF(B79&lt;=0.5,1,(1-B79)/B79),IF($B$4=4,IF(B79&lt;=1/3,1,(-B79+SQRT(4*B79-3*B79^2))/(2*B79)),1))</f>
        <v/>
      </c>
      <c r="D79" s="51">
        <f>IF(A79&gt;$B$6+0.0000001,1E+30,$B$5*IF($B$4=3,1.5*(1-C79)^3,IF($B$4=4,2*(1-C79)^4+6*C79*(1-C79)^3,0)))</f>
        <v/>
      </c>
    </row>
    <row r="80">
      <c r="A80" s="51" t="n">
        <v>0.07099999999999999</v>
      </c>
      <c r="B80" s="52">
        <f>$B$3*A80^2</f>
        <v/>
      </c>
      <c r="C80" s="52">
        <f>IF($B$4=3,IF(B80&lt;=0.5,1,(1-B80)/B80),IF($B$4=4,IF(B80&lt;=1/3,1,(-B80+SQRT(4*B80-3*B80^2))/(2*B80)),1))</f>
        <v/>
      </c>
      <c r="D80" s="51">
        <f>IF(A80&gt;$B$6+0.0000001,1E+30,$B$5*IF($B$4=3,1.5*(1-C80)^3,IF($B$4=4,2*(1-C80)^4+6*C80*(1-C80)^3,0)))</f>
        <v/>
      </c>
    </row>
    <row r="81">
      <c r="A81" s="51" t="n">
        <v>0.07199999999999999</v>
      </c>
      <c r="B81" s="52">
        <f>$B$3*A81^2</f>
        <v/>
      </c>
      <c r="C81" s="52">
        <f>IF($B$4=3,IF(B81&lt;=0.5,1,(1-B81)/B81),IF($B$4=4,IF(B81&lt;=1/3,1,(-B81+SQRT(4*B81-3*B81^2))/(2*B81)),1))</f>
        <v/>
      </c>
      <c r="D81" s="51">
        <f>IF(A81&gt;$B$6+0.0000001,1E+30,$B$5*IF($B$4=3,1.5*(1-C81)^3,IF($B$4=4,2*(1-C81)^4+6*C81*(1-C81)^3,0)))</f>
        <v/>
      </c>
    </row>
    <row r="82">
      <c r="A82" s="51" t="n">
        <v>0.073</v>
      </c>
      <c r="B82" s="52">
        <f>$B$3*A82^2</f>
        <v/>
      </c>
      <c r="C82" s="52">
        <f>IF($B$4=3,IF(B82&lt;=0.5,1,(1-B82)/B82),IF($B$4=4,IF(B82&lt;=1/3,1,(-B82+SQRT(4*B82-3*B82^2))/(2*B82)),1))</f>
        <v/>
      </c>
      <c r="D82" s="51">
        <f>IF(A82&gt;$B$6+0.0000001,1E+30,$B$5*IF($B$4=3,1.5*(1-C82)^3,IF($B$4=4,2*(1-C82)^4+6*C82*(1-C82)^3,0)))</f>
        <v/>
      </c>
    </row>
    <row r="83">
      <c r="A83" s="51" t="n">
        <v>0.074</v>
      </c>
      <c r="B83" s="52">
        <f>$B$3*A83^2</f>
        <v/>
      </c>
      <c r="C83" s="52">
        <f>IF($B$4=3,IF(B83&lt;=0.5,1,(1-B83)/B83),IF($B$4=4,IF(B83&lt;=1/3,1,(-B83+SQRT(4*B83-3*B83^2))/(2*B83)),1))</f>
        <v/>
      </c>
      <c r="D83" s="51">
        <f>IF(A83&gt;$B$6+0.0000001,1E+30,$B$5*IF($B$4=3,1.5*(1-C83)^3,IF($B$4=4,2*(1-C83)^4+6*C83*(1-C83)^3,0)))</f>
        <v/>
      </c>
    </row>
    <row r="84">
      <c r="A84" s="51" t="n">
        <v>0.075</v>
      </c>
      <c r="B84" s="52">
        <f>$B$3*A84^2</f>
        <v/>
      </c>
      <c r="C84" s="52">
        <f>IF($B$4=3,IF(B84&lt;=0.5,1,(1-B84)/B84),IF($B$4=4,IF(B84&lt;=1/3,1,(-B84+SQRT(4*B84-3*B84^2))/(2*B84)),1))</f>
        <v/>
      </c>
      <c r="D84" s="51">
        <f>IF(A84&gt;$B$6+0.0000001,1E+30,$B$5*IF($B$4=3,1.5*(1-C84)^3,IF($B$4=4,2*(1-C84)^4+6*C84*(1-C84)^3,0)))</f>
        <v/>
      </c>
    </row>
    <row r="85">
      <c r="A85" s="51" t="n">
        <v>0.076</v>
      </c>
      <c r="B85" s="52">
        <f>$B$3*A85^2</f>
        <v/>
      </c>
      <c r="C85" s="52">
        <f>IF($B$4=3,IF(B85&lt;=0.5,1,(1-B85)/B85),IF($B$4=4,IF(B85&lt;=1/3,1,(-B85+SQRT(4*B85-3*B85^2))/(2*B85)),1))</f>
        <v/>
      </c>
      <c r="D85" s="51">
        <f>IF(A85&gt;$B$6+0.0000001,1E+30,$B$5*IF($B$4=3,1.5*(1-C85)^3,IF($B$4=4,2*(1-C85)^4+6*C85*(1-C85)^3,0)))</f>
        <v/>
      </c>
    </row>
    <row r="86">
      <c r="A86" s="51" t="n">
        <v>0.077</v>
      </c>
      <c r="B86" s="52">
        <f>$B$3*A86^2</f>
        <v/>
      </c>
      <c r="C86" s="52">
        <f>IF($B$4=3,IF(B86&lt;=0.5,1,(1-B86)/B86),IF($B$4=4,IF(B86&lt;=1/3,1,(-B86+SQRT(4*B86-3*B86^2))/(2*B86)),1))</f>
        <v/>
      </c>
      <c r="D86" s="51">
        <f>IF(A86&gt;$B$6+0.0000001,1E+30,$B$5*IF($B$4=3,1.5*(1-C86)^3,IF($B$4=4,2*(1-C86)^4+6*C86*(1-C86)^3,0)))</f>
        <v/>
      </c>
    </row>
    <row r="87">
      <c r="A87" s="51" t="n">
        <v>0.078</v>
      </c>
      <c r="B87" s="52">
        <f>$B$3*A87^2</f>
        <v/>
      </c>
      <c r="C87" s="52">
        <f>IF($B$4=3,IF(B87&lt;=0.5,1,(1-B87)/B87),IF($B$4=4,IF(B87&lt;=1/3,1,(-B87+SQRT(4*B87-3*B87^2))/(2*B87)),1))</f>
        <v/>
      </c>
      <c r="D87" s="51">
        <f>IF(A87&gt;$B$6+0.0000001,1E+30,$B$5*IF($B$4=3,1.5*(1-C87)^3,IF($B$4=4,2*(1-C87)^4+6*C87*(1-C87)^3,0)))</f>
        <v/>
      </c>
    </row>
    <row r="88">
      <c r="A88" s="51" t="n">
        <v>0.079</v>
      </c>
      <c r="B88" s="52">
        <f>$B$3*A88^2</f>
        <v/>
      </c>
      <c r="C88" s="52">
        <f>IF($B$4=3,IF(B88&lt;=0.5,1,(1-B88)/B88),IF($B$4=4,IF(B88&lt;=1/3,1,(-B88+SQRT(4*B88-3*B88^2))/(2*B88)),1))</f>
        <v/>
      </c>
      <c r="D88" s="51">
        <f>IF(A88&gt;$B$6+0.0000001,1E+30,$B$5*IF($B$4=3,1.5*(1-C88)^3,IF($B$4=4,2*(1-C88)^4+6*C88*(1-C88)^3,0)))</f>
        <v/>
      </c>
    </row>
    <row r="89">
      <c r="A89" s="51" t="n">
        <v>0.08</v>
      </c>
      <c r="B89" s="52">
        <f>$B$3*A89^2</f>
        <v/>
      </c>
      <c r="C89" s="52">
        <f>IF($B$4=3,IF(B89&lt;=0.5,1,(1-B89)/B89),IF($B$4=4,IF(B89&lt;=1/3,1,(-B89+SQRT(4*B89-3*B89^2))/(2*B89)),1))</f>
        <v/>
      </c>
      <c r="D89" s="51">
        <f>IF(A89&gt;$B$6+0.0000001,1E+30,$B$5*IF($B$4=3,1.5*(1-C89)^3,IF($B$4=4,2*(1-C89)^4+6*C89*(1-C89)^3,0)))</f>
        <v/>
      </c>
    </row>
    <row r="90">
      <c r="A90" s="51" t="n">
        <v>0.081</v>
      </c>
      <c r="B90" s="52">
        <f>$B$3*A90^2</f>
        <v/>
      </c>
      <c r="C90" s="52">
        <f>IF($B$4=3,IF(B90&lt;=0.5,1,(1-B90)/B90),IF($B$4=4,IF(B90&lt;=1/3,1,(-B90+SQRT(4*B90-3*B90^2))/(2*B90)),1))</f>
        <v/>
      </c>
      <c r="D90" s="51">
        <f>IF(A90&gt;$B$6+0.0000001,1E+30,$B$5*IF($B$4=3,1.5*(1-C90)^3,IF($B$4=4,2*(1-C90)^4+6*C90*(1-C90)^3,0)))</f>
        <v/>
      </c>
    </row>
    <row r="91">
      <c r="A91" s="51" t="n">
        <v>0.082</v>
      </c>
      <c r="B91" s="52">
        <f>$B$3*A91^2</f>
        <v/>
      </c>
      <c r="C91" s="52">
        <f>IF($B$4=3,IF(B91&lt;=0.5,1,(1-B91)/B91),IF($B$4=4,IF(B91&lt;=1/3,1,(-B91+SQRT(4*B91-3*B91^2))/(2*B91)),1))</f>
        <v/>
      </c>
      <c r="D91" s="51">
        <f>IF(A91&gt;$B$6+0.0000001,1E+30,$B$5*IF($B$4=3,1.5*(1-C91)^3,IF($B$4=4,2*(1-C91)^4+6*C91*(1-C91)^3,0)))</f>
        <v/>
      </c>
    </row>
    <row r="92">
      <c r="A92" s="51" t="n">
        <v>0.083</v>
      </c>
      <c r="B92" s="52">
        <f>$B$3*A92^2</f>
        <v/>
      </c>
      <c r="C92" s="52">
        <f>IF($B$4=3,IF(B92&lt;=0.5,1,(1-B92)/B92),IF($B$4=4,IF(B92&lt;=1/3,1,(-B92+SQRT(4*B92-3*B92^2))/(2*B92)),1))</f>
        <v/>
      </c>
      <c r="D92" s="51">
        <f>IF(A92&gt;$B$6+0.0000001,1E+30,$B$5*IF($B$4=3,1.5*(1-C92)^3,IF($B$4=4,2*(1-C92)^4+6*C92*(1-C92)^3,0)))</f>
        <v/>
      </c>
    </row>
    <row r="93">
      <c r="A93" s="51" t="n">
        <v>0.08400000000000001</v>
      </c>
      <c r="B93" s="52">
        <f>$B$3*A93^2</f>
        <v/>
      </c>
      <c r="C93" s="52">
        <f>IF($B$4=3,IF(B93&lt;=0.5,1,(1-B93)/B93),IF($B$4=4,IF(B93&lt;=1/3,1,(-B93+SQRT(4*B93-3*B93^2))/(2*B93)),1))</f>
        <v/>
      </c>
      <c r="D93" s="51">
        <f>IF(A93&gt;$B$6+0.0000001,1E+30,$B$5*IF($B$4=3,1.5*(1-C93)^3,IF($B$4=4,2*(1-C93)^4+6*C93*(1-C93)^3,0)))</f>
        <v/>
      </c>
    </row>
    <row r="94">
      <c r="A94" s="51" t="n">
        <v>0.08500000000000001</v>
      </c>
      <c r="B94" s="52">
        <f>$B$3*A94^2</f>
        <v/>
      </c>
      <c r="C94" s="52">
        <f>IF($B$4=3,IF(B94&lt;=0.5,1,(1-B94)/B94),IF($B$4=4,IF(B94&lt;=1/3,1,(-B94+SQRT(4*B94-3*B94^2))/(2*B94)),1))</f>
        <v/>
      </c>
      <c r="D94" s="51">
        <f>IF(A94&gt;$B$6+0.0000001,1E+30,$B$5*IF($B$4=3,1.5*(1-C94)^3,IF($B$4=4,2*(1-C94)^4+6*C94*(1-C94)^3,0)))</f>
        <v/>
      </c>
    </row>
    <row r="95">
      <c r="A95" s="51" t="n">
        <v>0.08599999999999999</v>
      </c>
      <c r="B95" s="52">
        <f>$B$3*A95^2</f>
        <v/>
      </c>
      <c r="C95" s="52">
        <f>IF($B$4=3,IF(B95&lt;=0.5,1,(1-B95)/B95),IF($B$4=4,IF(B95&lt;=1/3,1,(-B95+SQRT(4*B95-3*B95^2))/(2*B95)),1))</f>
        <v/>
      </c>
      <c r="D95" s="51">
        <f>IF(A95&gt;$B$6+0.0000001,1E+30,$B$5*IF($B$4=3,1.5*(1-C95)^3,IF($B$4=4,2*(1-C95)^4+6*C95*(1-C95)^3,0)))</f>
        <v/>
      </c>
    </row>
    <row r="96">
      <c r="A96" s="51" t="n">
        <v>0.08699999999999999</v>
      </c>
      <c r="B96" s="52">
        <f>$B$3*A96^2</f>
        <v/>
      </c>
      <c r="C96" s="52">
        <f>IF($B$4=3,IF(B96&lt;=0.5,1,(1-B96)/B96),IF($B$4=4,IF(B96&lt;=1/3,1,(-B96+SQRT(4*B96-3*B96^2))/(2*B96)),1))</f>
        <v/>
      </c>
      <c r="D96" s="51">
        <f>IF(A96&gt;$B$6+0.0000001,1E+30,$B$5*IF($B$4=3,1.5*(1-C96)^3,IF($B$4=4,2*(1-C96)^4+6*C96*(1-C96)^3,0)))</f>
        <v/>
      </c>
    </row>
    <row r="97">
      <c r="A97" s="51" t="n">
        <v>0.08799999999999999</v>
      </c>
      <c r="B97" s="52">
        <f>$B$3*A97^2</f>
        <v/>
      </c>
      <c r="C97" s="52">
        <f>IF($B$4=3,IF(B97&lt;=0.5,1,(1-B97)/B97),IF($B$4=4,IF(B97&lt;=1/3,1,(-B97+SQRT(4*B97-3*B97^2))/(2*B97)),1))</f>
        <v/>
      </c>
      <c r="D97" s="51">
        <f>IF(A97&gt;$B$6+0.0000001,1E+30,$B$5*IF($B$4=3,1.5*(1-C97)^3,IF($B$4=4,2*(1-C97)^4+6*C97*(1-C97)^3,0)))</f>
        <v/>
      </c>
    </row>
    <row r="98">
      <c r="A98" s="51" t="n">
        <v>0.089</v>
      </c>
      <c r="B98" s="52">
        <f>$B$3*A98^2</f>
        <v/>
      </c>
      <c r="C98" s="52">
        <f>IF($B$4=3,IF(B98&lt;=0.5,1,(1-B98)/B98),IF($B$4=4,IF(B98&lt;=1/3,1,(-B98+SQRT(4*B98-3*B98^2))/(2*B98)),1))</f>
        <v/>
      </c>
      <c r="D98" s="51">
        <f>IF(A98&gt;$B$6+0.0000001,1E+30,$B$5*IF($B$4=3,1.5*(1-C98)^3,IF($B$4=4,2*(1-C98)^4+6*C98*(1-C98)^3,0)))</f>
        <v/>
      </c>
    </row>
    <row r="99">
      <c r="A99" s="51" t="n">
        <v>0.09</v>
      </c>
      <c r="B99" s="52">
        <f>$B$3*A99^2</f>
        <v/>
      </c>
      <c r="C99" s="52">
        <f>IF($B$4=3,IF(B99&lt;=0.5,1,(1-B99)/B99),IF($B$4=4,IF(B99&lt;=1/3,1,(-B99+SQRT(4*B99-3*B99^2))/(2*B99)),1))</f>
        <v/>
      </c>
      <c r="D99" s="51">
        <f>IF(A99&gt;$B$6+0.0000001,1E+30,$B$5*IF($B$4=3,1.5*(1-C99)^3,IF($B$4=4,2*(1-C99)^4+6*C99*(1-C99)^3,0)))</f>
        <v/>
      </c>
    </row>
    <row r="100">
      <c r="A100" s="51" t="n">
        <v>0.091</v>
      </c>
      <c r="B100" s="52">
        <f>$B$3*A100^2</f>
        <v/>
      </c>
      <c r="C100" s="52">
        <f>IF($B$4=3,IF(B100&lt;=0.5,1,(1-B100)/B100),IF($B$4=4,IF(B100&lt;=1/3,1,(-B100+SQRT(4*B100-3*B100^2))/(2*B100)),1))</f>
        <v/>
      </c>
      <c r="D100" s="51">
        <f>IF(A100&gt;$B$6+0.0000001,1E+30,$B$5*IF($B$4=3,1.5*(1-C100)^3,IF($B$4=4,2*(1-C100)^4+6*C100*(1-C100)^3,0)))</f>
        <v/>
      </c>
    </row>
    <row r="101">
      <c r="A101" s="51" t="n">
        <v>0.092</v>
      </c>
      <c r="B101" s="52">
        <f>$B$3*A101^2</f>
        <v/>
      </c>
      <c r="C101" s="52">
        <f>IF($B$4=3,IF(B101&lt;=0.5,1,(1-B101)/B101),IF($B$4=4,IF(B101&lt;=1/3,1,(-B101+SQRT(4*B101-3*B101^2))/(2*B101)),1))</f>
        <v/>
      </c>
      <c r="D101" s="51">
        <f>IF(A101&gt;$B$6+0.0000001,1E+30,$B$5*IF($B$4=3,1.5*(1-C101)^3,IF($B$4=4,2*(1-C101)^4+6*C101*(1-C101)^3,0)))</f>
        <v/>
      </c>
    </row>
    <row r="102">
      <c r="A102" s="51" t="n">
        <v>0.093</v>
      </c>
      <c r="B102" s="52">
        <f>$B$3*A102^2</f>
        <v/>
      </c>
      <c r="C102" s="52">
        <f>IF($B$4=3,IF(B102&lt;=0.5,1,(1-B102)/B102),IF($B$4=4,IF(B102&lt;=1/3,1,(-B102+SQRT(4*B102-3*B102^2))/(2*B102)),1))</f>
        <v/>
      </c>
      <c r="D102" s="51">
        <f>IF(A102&gt;$B$6+0.0000001,1E+30,$B$5*IF($B$4=3,1.5*(1-C102)^3,IF($B$4=4,2*(1-C102)^4+6*C102*(1-C102)^3,0)))</f>
        <v/>
      </c>
    </row>
    <row r="103">
      <c r="A103" s="51" t="n">
        <v>0.094</v>
      </c>
      <c r="B103" s="52">
        <f>$B$3*A103^2</f>
        <v/>
      </c>
      <c r="C103" s="52">
        <f>IF($B$4=3,IF(B103&lt;=0.5,1,(1-B103)/B103),IF($B$4=4,IF(B103&lt;=1/3,1,(-B103+SQRT(4*B103-3*B103^2))/(2*B103)),1))</f>
        <v/>
      </c>
      <c r="D103" s="51">
        <f>IF(A103&gt;$B$6+0.0000001,1E+30,$B$5*IF($B$4=3,1.5*(1-C103)^3,IF($B$4=4,2*(1-C103)^4+6*C103*(1-C103)^3,0)))</f>
        <v/>
      </c>
    </row>
    <row r="104">
      <c r="A104" s="51" t="n">
        <v>0.095</v>
      </c>
      <c r="B104" s="52">
        <f>$B$3*A104^2</f>
        <v/>
      </c>
      <c r="C104" s="52">
        <f>IF($B$4=3,IF(B104&lt;=0.5,1,(1-B104)/B104),IF($B$4=4,IF(B104&lt;=1/3,1,(-B104+SQRT(4*B104-3*B104^2))/(2*B104)),1))</f>
        <v/>
      </c>
      <c r="D104" s="51">
        <f>IF(A104&gt;$B$6+0.0000001,1E+30,$B$5*IF($B$4=3,1.5*(1-C104)^3,IF($B$4=4,2*(1-C104)^4+6*C104*(1-C104)^3,0)))</f>
        <v/>
      </c>
    </row>
    <row r="105">
      <c r="A105" s="51" t="n">
        <v>0.096</v>
      </c>
      <c r="B105" s="52">
        <f>$B$3*A105^2</f>
        <v/>
      </c>
      <c r="C105" s="52">
        <f>IF($B$4=3,IF(B105&lt;=0.5,1,(1-B105)/B105),IF($B$4=4,IF(B105&lt;=1/3,1,(-B105+SQRT(4*B105-3*B105^2))/(2*B105)),1))</f>
        <v/>
      </c>
      <c r="D105" s="51">
        <f>IF(A105&gt;$B$6+0.0000001,1E+30,$B$5*IF($B$4=3,1.5*(1-C105)^3,IF($B$4=4,2*(1-C105)^4+6*C105*(1-C105)^3,0)))</f>
        <v/>
      </c>
    </row>
    <row r="106">
      <c r="A106" s="51" t="n">
        <v>0.097</v>
      </c>
      <c r="B106" s="52">
        <f>$B$3*A106^2</f>
        <v/>
      </c>
      <c r="C106" s="52">
        <f>IF($B$4=3,IF(B106&lt;=0.5,1,(1-B106)/B106),IF($B$4=4,IF(B106&lt;=1/3,1,(-B106+SQRT(4*B106-3*B106^2))/(2*B106)),1))</f>
        <v/>
      </c>
      <c r="D106" s="51">
        <f>IF(A106&gt;$B$6+0.0000001,1E+30,$B$5*IF($B$4=3,1.5*(1-C106)^3,IF($B$4=4,2*(1-C106)^4+6*C106*(1-C106)^3,0)))</f>
        <v/>
      </c>
    </row>
    <row r="107">
      <c r="A107" s="51" t="n">
        <v>0.098</v>
      </c>
      <c r="B107" s="52">
        <f>$B$3*A107^2</f>
        <v/>
      </c>
      <c r="C107" s="52">
        <f>IF($B$4=3,IF(B107&lt;=0.5,1,(1-B107)/B107),IF($B$4=4,IF(B107&lt;=1/3,1,(-B107+SQRT(4*B107-3*B107^2))/(2*B107)),1))</f>
        <v/>
      </c>
      <c r="D107" s="51">
        <f>IF(A107&gt;$B$6+0.0000001,1E+30,$B$5*IF($B$4=3,1.5*(1-C107)^3,IF($B$4=4,2*(1-C107)^4+6*C107*(1-C107)^3,0)))</f>
        <v/>
      </c>
    </row>
    <row r="108">
      <c r="A108" s="51" t="n">
        <v>0.099</v>
      </c>
      <c r="B108" s="52">
        <f>$B$3*A108^2</f>
        <v/>
      </c>
      <c r="C108" s="52">
        <f>IF($B$4=3,IF(B108&lt;=0.5,1,(1-B108)/B108),IF($B$4=4,IF(B108&lt;=1/3,1,(-B108+SQRT(4*B108-3*B108^2))/(2*B108)),1))</f>
        <v/>
      </c>
      <c r="D108" s="51">
        <f>IF(A108&gt;$B$6+0.0000001,1E+30,$B$5*IF($B$4=3,1.5*(1-C108)^3,IF($B$4=4,2*(1-C108)^4+6*C108*(1-C108)^3,0)))</f>
        <v/>
      </c>
    </row>
    <row r="109">
      <c r="A109" s="51" t="n">
        <v>0.1</v>
      </c>
      <c r="B109" s="52">
        <f>$B$3*A109^2</f>
        <v/>
      </c>
      <c r="C109" s="52">
        <f>IF($B$4=3,IF(B109&lt;=0.5,1,(1-B109)/B109),IF($B$4=4,IF(B109&lt;=1/3,1,(-B109+SQRT(4*B109-3*B109^2))/(2*B109)),1))</f>
        <v/>
      </c>
      <c r="D109" s="51">
        <f>IF(A109&gt;$B$6+0.0000001,1E+30,$B$5*IF($B$4=3,1.5*(1-C109)^3,IF($B$4=4,2*(1-C109)^4+6*C109*(1-C109)^3,0)))</f>
        <v/>
      </c>
    </row>
    <row r="110">
      <c r="A110" s="51" t="n">
        <v>0.101</v>
      </c>
      <c r="B110" s="52">
        <f>$B$3*A110^2</f>
        <v/>
      </c>
      <c r="C110" s="52">
        <f>IF($B$4=3,IF(B110&lt;=0.5,1,(1-B110)/B110),IF($B$4=4,IF(B110&lt;=1/3,1,(-B110+SQRT(4*B110-3*B110^2))/(2*B110)),1))</f>
        <v/>
      </c>
      <c r="D110" s="51">
        <f>IF(A110&gt;$B$6+0.0000001,1E+30,$B$5*IF($B$4=3,1.5*(1-C110)^3,IF($B$4=4,2*(1-C110)^4+6*C110*(1-C110)^3,0)))</f>
        <v/>
      </c>
    </row>
    <row r="111">
      <c r="A111" s="51" t="n">
        <v>0.102</v>
      </c>
      <c r="B111" s="52">
        <f>$B$3*A111^2</f>
        <v/>
      </c>
      <c r="C111" s="52">
        <f>IF($B$4=3,IF(B111&lt;=0.5,1,(1-B111)/B111),IF($B$4=4,IF(B111&lt;=1/3,1,(-B111+SQRT(4*B111-3*B111^2))/(2*B111)),1))</f>
        <v/>
      </c>
      <c r="D111" s="51">
        <f>IF(A111&gt;$B$6+0.0000001,1E+30,$B$5*IF($B$4=3,1.5*(1-C111)^3,IF($B$4=4,2*(1-C111)^4+6*C111*(1-C111)^3,0)))</f>
        <v/>
      </c>
    </row>
    <row r="112">
      <c r="A112" s="51" t="n">
        <v>0.103</v>
      </c>
      <c r="B112" s="52">
        <f>$B$3*A112^2</f>
        <v/>
      </c>
      <c r="C112" s="52">
        <f>IF($B$4=3,IF(B112&lt;=0.5,1,(1-B112)/B112),IF($B$4=4,IF(B112&lt;=1/3,1,(-B112+SQRT(4*B112-3*B112^2))/(2*B112)),1))</f>
        <v/>
      </c>
      <c r="D112" s="51">
        <f>IF(A112&gt;$B$6+0.0000001,1E+30,$B$5*IF($B$4=3,1.5*(1-C112)^3,IF($B$4=4,2*(1-C112)^4+6*C112*(1-C112)^3,0)))</f>
        <v/>
      </c>
    </row>
    <row r="113">
      <c r="A113" s="51" t="n">
        <v>0.104</v>
      </c>
      <c r="B113" s="52">
        <f>$B$3*A113^2</f>
        <v/>
      </c>
      <c r="C113" s="52">
        <f>IF($B$4=3,IF(B113&lt;=0.5,1,(1-B113)/B113),IF($B$4=4,IF(B113&lt;=1/3,1,(-B113+SQRT(4*B113-3*B113^2))/(2*B113)),1))</f>
        <v/>
      </c>
      <c r="D113" s="51">
        <f>IF(A113&gt;$B$6+0.0000001,1E+30,$B$5*IF($B$4=3,1.5*(1-C113)^3,IF($B$4=4,2*(1-C113)^4+6*C113*(1-C113)^3,0)))</f>
        <v/>
      </c>
    </row>
    <row r="114">
      <c r="A114" s="51" t="n">
        <v>0.105</v>
      </c>
      <c r="B114" s="52">
        <f>$B$3*A114^2</f>
        <v/>
      </c>
      <c r="C114" s="52">
        <f>IF($B$4=3,IF(B114&lt;=0.5,1,(1-B114)/B114),IF($B$4=4,IF(B114&lt;=1/3,1,(-B114+SQRT(4*B114-3*B114^2))/(2*B114)),1))</f>
        <v/>
      </c>
      <c r="D114" s="51">
        <f>IF(A114&gt;$B$6+0.0000001,1E+30,$B$5*IF($B$4=3,1.5*(1-C114)^3,IF($B$4=4,2*(1-C114)^4+6*C114*(1-C114)^3,0)))</f>
        <v/>
      </c>
    </row>
    <row r="115">
      <c r="A115" s="51" t="n">
        <v>0.106</v>
      </c>
      <c r="B115" s="52">
        <f>$B$3*A115^2</f>
        <v/>
      </c>
      <c r="C115" s="52">
        <f>IF($B$4=3,IF(B115&lt;=0.5,1,(1-B115)/B115),IF($B$4=4,IF(B115&lt;=1/3,1,(-B115+SQRT(4*B115-3*B115^2))/(2*B115)),1))</f>
        <v/>
      </c>
      <c r="D115" s="51">
        <f>IF(A115&gt;$B$6+0.0000001,1E+30,$B$5*IF($B$4=3,1.5*(1-C115)^3,IF($B$4=4,2*(1-C115)^4+6*C115*(1-C115)^3,0)))</f>
        <v/>
      </c>
    </row>
    <row r="116">
      <c r="A116" s="51" t="n">
        <v>0.107</v>
      </c>
      <c r="B116" s="52">
        <f>$B$3*A116^2</f>
        <v/>
      </c>
      <c r="C116" s="52">
        <f>IF($B$4=3,IF(B116&lt;=0.5,1,(1-B116)/B116),IF($B$4=4,IF(B116&lt;=1/3,1,(-B116+SQRT(4*B116-3*B116^2))/(2*B116)),1))</f>
        <v/>
      </c>
      <c r="D116" s="51">
        <f>IF(A116&gt;$B$6+0.0000001,1E+30,$B$5*IF($B$4=3,1.5*(1-C116)^3,IF($B$4=4,2*(1-C116)^4+6*C116*(1-C116)^3,0)))</f>
        <v/>
      </c>
    </row>
    <row r="117">
      <c r="A117" s="51" t="n">
        <v>0.108</v>
      </c>
      <c r="B117" s="52">
        <f>$B$3*A117^2</f>
        <v/>
      </c>
      <c r="C117" s="52">
        <f>IF($B$4=3,IF(B117&lt;=0.5,1,(1-B117)/B117),IF($B$4=4,IF(B117&lt;=1/3,1,(-B117+SQRT(4*B117-3*B117^2))/(2*B117)),1))</f>
        <v/>
      </c>
      <c r="D117" s="51">
        <f>IF(A117&gt;$B$6+0.0000001,1E+30,$B$5*IF($B$4=3,1.5*(1-C117)^3,IF($B$4=4,2*(1-C117)^4+6*C117*(1-C117)^3,0)))</f>
        <v/>
      </c>
    </row>
    <row r="118">
      <c r="A118" s="51" t="n">
        <v>0.109</v>
      </c>
      <c r="B118" s="52">
        <f>$B$3*A118^2</f>
        <v/>
      </c>
      <c r="C118" s="52">
        <f>IF($B$4=3,IF(B118&lt;=0.5,1,(1-B118)/B118),IF($B$4=4,IF(B118&lt;=1/3,1,(-B118+SQRT(4*B118-3*B118^2))/(2*B118)),1))</f>
        <v/>
      </c>
      <c r="D118" s="51">
        <f>IF(A118&gt;$B$6+0.0000001,1E+30,$B$5*IF($B$4=3,1.5*(1-C118)^3,IF($B$4=4,2*(1-C118)^4+6*C118*(1-C118)^3,0)))</f>
        <v/>
      </c>
    </row>
    <row r="119">
      <c r="A119" s="51" t="n">
        <v>0.11</v>
      </c>
      <c r="B119" s="52">
        <f>$B$3*A119^2</f>
        <v/>
      </c>
      <c r="C119" s="52">
        <f>IF($B$4=3,IF(B119&lt;=0.5,1,(1-B119)/B119),IF($B$4=4,IF(B119&lt;=1/3,1,(-B119+SQRT(4*B119-3*B119^2))/(2*B119)),1))</f>
        <v/>
      </c>
      <c r="D119" s="51">
        <f>IF(A119&gt;$B$6+0.0000001,1E+30,$B$5*IF($B$4=3,1.5*(1-C119)^3,IF($B$4=4,2*(1-C119)^4+6*C119*(1-C119)^3,0)))</f>
        <v/>
      </c>
    </row>
    <row r="120">
      <c r="A120" s="51" t="n">
        <v>0.111</v>
      </c>
      <c r="B120" s="52">
        <f>$B$3*A120^2</f>
        <v/>
      </c>
      <c r="C120" s="52">
        <f>IF($B$4=3,IF(B120&lt;=0.5,1,(1-B120)/B120),IF($B$4=4,IF(B120&lt;=1/3,1,(-B120+SQRT(4*B120-3*B120^2))/(2*B120)),1))</f>
        <v/>
      </c>
      <c r="D120" s="51">
        <f>IF(A120&gt;$B$6+0.0000001,1E+30,$B$5*IF($B$4=3,1.5*(1-C120)^3,IF($B$4=4,2*(1-C120)^4+6*C120*(1-C120)^3,0)))</f>
        <v/>
      </c>
    </row>
    <row r="121">
      <c r="A121" s="51" t="n">
        <v>0.112</v>
      </c>
      <c r="B121" s="52">
        <f>$B$3*A121^2</f>
        <v/>
      </c>
      <c r="C121" s="52">
        <f>IF($B$4=3,IF(B121&lt;=0.5,1,(1-B121)/B121),IF($B$4=4,IF(B121&lt;=1/3,1,(-B121+SQRT(4*B121-3*B121^2))/(2*B121)),1))</f>
        <v/>
      </c>
      <c r="D121" s="51">
        <f>IF(A121&gt;$B$6+0.0000001,1E+30,$B$5*IF($B$4=3,1.5*(1-C121)^3,IF($B$4=4,2*(1-C121)^4+6*C121*(1-C121)^3,0)))</f>
        <v/>
      </c>
    </row>
    <row r="122">
      <c r="A122" s="51" t="n">
        <v>0.113</v>
      </c>
      <c r="B122" s="52">
        <f>$B$3*A122^2</f>
        <v/>
      </c>
      <c r="C122" s="52">
        <f>IF($B$4=3,IF(B122&lt;=0.5,1,(1-B122)/B122),IF($B$4=4,IF(B122&lt;=1/3,1,(-B122+SQRT(4*B122-3*B122^2))/(2*B122)),1))</f>
        <v/>
      </c>
      <c r="D122" s="51">
        <f>IF(A122&gt;$B$6+0.0000001,1E+30,$B$5*IF($B$4=3,1.5*(1-C122)^3,IF($B$4=4,2*(1-C122)^4+6*C122*(1-C122)^3,0)))</f>
        <v/>
      </c>
    </row>
    <row r="123">
      <c r="A123" s="51" t="n">
        <v>0.114</v>
      </c>
      <c r="B123" s="52">
        <f>$B$3*A123^2</f>
        <v/>
      </c>
      <c r="C123" s="52">
        <f>IF($B$4=3,IF(B123&lt;=0.5,1,(1-B123)/B123),IF($B$4=4,IF(B123&lt;=1/3,1,(-B123+SQRT(4*B123-3*B123^2))/(2*B123)),1))</f>
        <v/>
      </c>
      <c r="D123" s="51">
        <f>IF(A123&gt;$B$6+0.0000001,1E+30,$B$5*IF($B$4=3,1.5*(1-C123)^3,IF($B$4=4,2*(1-C123)^4+6*C123*(1-C123)^3,0)))</f>
        <v/>
      </c>
    </row>
    <row r="124">
      <c r="A124" s="51" t="n">
        <v>0.115</v>
      </c>
      <c r="B124" s="52">
        <f>$B$3*A124^2</f>
        <v/>
      </c>
      <c r="C124" s="52">
        <f>IF($B$4=3,IF(B124&lt;=0.5,1,(1-B124)/B124),IF($B$4=4,IF(B124&lt;=1/3,1,(-B124+SQRT(4*B124-3*B124^2))/(2*B124)),1))</f>
        <v/>
      </c>
      <c r="D124" s="51">
        <f>IF(A124&gt;$B$6+0.0000001,1E+30,$B$5*IF($B$4=3,1.5*(1-C124)^3,IF($B$4=4,2*(1-C124)^4+6*C124*(1-C124)^3,0)))</f>
        <v/>
      </c>
    </row>
    <row r="125">
      <c r="A125" s="51" t="n">
        <v>0.116</v>
      </c>
      <c r="B125" s="52">
        <f>$B$3*A125^2</f>
        <v/>
      </c>
      <c r="C125" s="52">
        <f>IF($B$4=3,IF(B125&lt;=0.5,1,(1-B125)/B125),IF($B$4=4,IF(B125&lt;=1/3,1,(-B125+SQRT(4*B125-3*B125^2))/(2*B125)),1))</f>
        <v/>
      </c>
      <c r="D125" s="51">
        <f>IF(A125&gt;$B$6+0.0000001,1E+30,$B$5*IF($B$4=3,1.5*(1-C125)^3,IF($B$4=4,2*(1-C125)^4+6*C125*(1-C125)^3,0)))</f>
        <v/>
      </c>
    </row>
    <row r="126">
      <c r="A126" s="51" t="n">
        <v>0.117</v>
      </c>
      <c r="B126" s="52">
        <f>$B$3*A126^2</f>
        <v/>
      </c>
      <c r="C126" s="52">
        <f>IF($B$4=3,IF(B126&lt;=0.5,1,(1-B126)/B126),IF($B$4=4,IF(B126&lt;=1/3,1,(-B126+SQRT(4*B126-3*B126^2))/(2*B126)),1))</f>
        <v/>
      </c>
      <c r="D126" s="51">
        <f>IF(A126&gt;$B$6+0.0000001,1E+30,$B$5*IF($B$4=3,1.5*(1-C126)^3,IF($B$4=4,2*(1-C126)^4+6*C126*(1-C126)^3,0)))</f>
        <v/>
      </c>
    </row>
    <row r="127">
      <c r="A127" s="51" t="n">
        <v>0.118</v>
      </c>
      <c r="B127" s="52">
        <f>$B$3*A127^2</f>
        <v/>
      </c>
      <c r="C127" s="52">
        <f>IF($B$4=3,IF(B127&lt;=0.5,1,(1-B127)/B127),IF($B$4=4,IF(B127&lt;=1/3,1,(-B127+SQRT(4*B127-3*B127^2))/(2*B127)),1))</f>
        <v/>
      </c>
      <c r="D127" s="51">
        <f>IF(A127&gt;$B$6+0.0000001,1E+30,$B$5*IF($B$4=3,1.5*(1-C127)^3,IF($B$4=4,2*(1-C127)^4+6*C127*(1-C127)^3,0)))</f>
        <v/>
      </c>
    </row>
    <row r="128">
      <c r="A128" s="51" t="n">
        <v>0.119</v>
      </c>
      <c r="B128" s="52">
        <f>$B$3*A128^2</f>
        <v/>
      </c>
      <c r="C128" s="52">
        <f>IF($B$4=3,IF(B128&lt;=0.5,1,(1-B128)/B128),IF($B$4=4,IF(B128&lt;=1/3,1,(-B128+SQRT(4*B128-3*B128^2))/(2*B128)),1))</f>
        <v/>
      </c>
      <c r="D128" s="51">
        <f>IF(A128&gt;$B$6+0.0000001,1E+30,$B$5*IF($B$4=3,1.5*(1-C128)^3,IF($B$4=4,2*(1-C128)^4+6*C128*(1-C128)^3,0)))</f>
        <v/>
      </c>
    </row>
    <row r="129">
      <c r="A129" s="51" t="n">
        <v>0.12</v>
      </c>
      <c r="B129" s="52">
        <f>$B$3*A129^2</f>
        <v/>
      </c>
      <c r="C129" s="52">
        <f>IF($B$4=3,IF(B129&lt;=0.5,1,(1-B129)/B129),IF($B$4=4,IF(B129&lt;=1/3,1,(-B129+SQRT(4*B129-3*B129^2))/(2*B129)),1))</f>
        <v/>
      </c>
      <c r="D129" s="51">
        <f>IF(A129&gt;$B$6+0.0000001,1E+30,$B$5*IF($B$4=3,1.5*(1-C129)^3,IF($B$4=4,2*(1-C129)^4+6*C129*(1-C129)^3,0)))</f>
        <v/>
      </c>
    </row>
    <row r="130">
      <c r="A130" s="51" t="n">
        <v>0.121</v>
      </c>
      <c r="B130" s="52">
        <f>$B$3*A130^2</f>
        <v/>
      </c>
      <c r="C130" s="52">
        <f>IF($B$4=3,IF(B130&lt;=0.5,1,(1-B130)/B130),IF($B$4=4,IF(B130&lt;=1/3,1,(-B130+SQRT(4*B130-3*B130^2))/(2*B130)),1))</f>
        <v/>
      </c>
      <c r="D130" s="51">
        <f>IF(A130&gt;$B$6+0.0000001,1E+30,$B$5*IF($B$4=3,1.5*(1-C130)^3,IF($B$4=4,2*(1-C130)^4+6*C130*(1-C130)^3,0)))</f>
        <v/>
      </c>
    </row>
    <row r="131">
      <c r="A131" s="51" t="n">
        <v>0.122</v>
      </c>
      <c r="B131" s="52">
        <f>$B$3*A131^2</f>
        <v/>
      </c>
      <c r="C131" s="52">
        <f>IF($B$4=3,IF(B131&lt;=0.5,1,(1-B131)/B131),IF($B$4=4,IF(B131&lt;=1/3,1,(-B131+SQRT(4*B131-3*B131^2))/(2*B131)),1))</f>
        <v/>
      </c>
      <c r="D131" s="51">
        <f>IF(A131&gt;$B$6+0.0000001,1E+30,$B$5*IF($B$4=3,1.5*(1-C131)^3,IF($B$4=4,2*(1-C131)^4+6*C131*(1-C131)^3,0)))</f>
        <v/>
      </c>
    </row>
    <row r="132">
      <c r="A132" s="51" t="n">
        <v>0.123</v>
      </c>
      <c r="B132" s="52">
        <f>$B$3*A132^2</f>
        <v/>
      </c>
      <c r="C132" s="52">
        <f>IF($B$4=3,IF(B132&lt;=0.5,1,(1-B132)/B132),IF($B$4=4,IF(B132&lt;=1/3,1,(-B132+SQRT(4*B132-3*B132^2))/(2*B132)),1))</f>
        <v/>
      </c>
      <c r="D132" s="51">
        <f>IF(A132&gt;$B$6+0.0000001,1E+30,$B$5*IF($B$4=3,1.5*(1-C132)^3,IF($B$4=4,2*(1-C132)^4+6*C132*(1-C132)^3,0)))</f>
        <v/>
      </c>
    </row>
    <row r="133">
      <c r="A133" s="51" t="n">
        <v>0.124</v>
      </c>
      <c r="B133" s="52">
        <f>$B$3*A133^2</f>
        <v/>
      </c>
      <c r="C133" s="52">
        <f>IF($B$4=3,IF(B133&lt;=0.5,1,(1-B133)/B133),IF($B$4=4,IF(B133&lt;=1/3,1,(-B133+SQRT(4*B133-3*B133^2))/(2*B133)),1))</f>
        <v/>
      </c>
      <c r="D133" s="51">
        <f>IF(A133&gt;$B$6+0.0000001,1E+30,$B$5*IF($B$4=3,1.5*(1-C133)^3,IF($B$4=4,2*(1-C133)^4+6*C133*(1-C133)^3,0)))</f>
        <v/>
      </c>
    </row>
    <row r="134">
      <c r="A134" s="51" t="n">
        <v>0.125</v>
      </c>
      <c r="B134" s="52">
        <f>$B$3*A134^2</f>
        <v/>
      </c>
      <c r="C134" s="52">
        <f>IF($B$4=3,IF(B134&lt;=0.5,1,(1-B134)/B134),IF($B$4=4,IF(B134&lt;=1/3,1,(-B134+SQRT(4*B134-3*B134^2))/(2*B134)),1))</f>
        <v/>
      </c>
      <c r="D134" s="51">
        <f>IF(A134&gt;$B$6+0.0000001,1E+30,$B$5*IF($B$4=3,1.5*(1-C134)^3,IF($B$4=4,2*(1-C134)^4+6*C134*(1-C134)^3,0)))</f>
        <v/>
      </c>
    </row>
    <row r="135">
      <c r="A135" s="51" t="n">
        <v>0.126</v>
      </c>
      <c r="B135" s="52">
        <f>$B$3*A135^2</f>
        <v/>
      </c>
      <c r="C135" s="52">
        <f>IF($B$4=3,IF(B135&lt;=0.5,1,(1-B135)/B135),IF($B$4=4,IF(B135&lt;=1/3,1,(-B135+SQRT(4*B135-3*B135^2))/(2*B135)),1))</f>
        <v/>
      </c>
      <c r="D135" s="51">
        <f>IF(A135&gt;$B$6+0.0000001,1E+30,$B$5*IF($B$4=3,1.5*(1-C135)^3,IF($B$4=4,2*(1-C135)^4+6*C135*(1-C135)^3,0)))</f>
        <v/>
      </c>
    </row>
    <row r="136">
      <c r="A136" s="51" t="n">
        <v>0.127</v>
      </c>
      <c r="B136" s="52">
        <f>$B$3*A136^2</f>
        <v/>
      </c>
      <c r="C136" s="52">
        <f>IF($B$4=3,IF(B136&lt;=0.5,1,(1-B136)/B136),IF($B$4=4,IF(B136&lt;=1/3,1,(-B136+SQRT(4*B136-3*B136^2))/(2*B136)),1))</f>
        <v/>
      </c>
      <c r="D136" s="51">
        <f>IF(A136&gt;$B$6+0.0000001,1E+30,$B$5*IF($B$4=3,1.5*(1-C136)^3,IF($B$4=4,2*(1-C136)^4+6*C136*(1-C136)^3,0)))</f>
        <v/>
      </c>
    </row>
    <row r="137">
      <c r="A137" s="51" t="n">
        <v>0.128</v>
      </c>
      <c r="B137" s="52">
        <f>$B$3*A137^2</f>
        <v/>
      </c>
      <c r="C137" s="52">
        <f>IF($B$4=3,IF(B137&lt;=0.5,1,(1-B137)/B137),IF($B$4=4,IF(B137&lt;=1/3,1,(-B137+SQRT(4*B137-3*B137^2))/(2*B137)),1))</f>
        <v/>
      </c>
      <c r="D137" s="51">
        <f>IF(A137&gt;$B$6+0.0000001,1E+30,$B$5*IF($B$4=3,1.5*(1-C137)^3,IF($B$4=4,2*(1-C137)^4+6*C137*(1-C137)^3,0)))</f>
        <v/>
      </c>
    </row>
    <row r="138">
      <c r="A138" s="51" t="n">
        <v>0.129</v>
      </c>
      <c r="B138" s="52">
        <f>$B$3*A138^2</f>
        <v/>
      </c>
      <c r="C138" s="52">
        <f>IF($B$4=3,IF(B138&lt;=0.5,1,(1-B138)/B138),IF($B$4=4,IF(B138&lt;=1/3,1,(-B138+SQRT(4*B138-3*B138^2))/(2*B138)),1))</f>
        <v/>
      </c>
      <c r="D138" s="51">
        <f>IF(A138&gt;$B$6+0.0000001,1E+30,$B$5*IF($B$4=3,1.5*(1-C138)^3,IF($B$4=4,2*(1-C138)^4+6*C138*(1-C138)^3,0)))</f>
        <v/>
      </c>
    </row>
    <row r="139">
      <c r="A139" s="51" t="n">
        <v>0.13</v>
      </c>
      <c r="B139" s="52">
        <f>$B$3*A139^2</f>
        <v/>
      </c>
      <c r="C139" s="52">
        <f>IF($B$4=3,IF(B139&lt;=0.5,1,(1-B139)/B139),IF($B$4=4,IF(B139&lt;=1/3,1,(-B139+SQRT(4*B139-3*B139^2))/(2*B139)),1))</f>
        <v/>
      </c>
      <c r="D139" s="51">
        <f>IF(A139&gt;$B$6+0.0000001,1E+30,$B$5*IF($B$4=3,1.5*(1-C139)^3,IF($B$4=4,2*(1-C139)^4+6*C139*(1-C139)^3,0)))</f>
        <v/>
      </c>
    </row>
    <row r="140">
      <c r="A140" s="51" t="n">
        <v>0.131</v>
      </c>
      <c r="B140" s="52">
        <f>$B$3*A140^2</f>
        <v/>
      </c>
      <c r="C140" s="52">
        <f>IF($B$4=3,IF(B140&lt;=0.5,1,(1-B140)/B140),IF($B$4=4,IF(B140&lt;=1/3,1,(-B140+SQRT(4*B140-3*B140^2))/(2*B140)),1))</f>
        <v/>
      </c>
      <c r="D140" s="51">
        <f>IF(A140&gt;$B$6+0.0000001,1E+30,$B$5*IF($B$4=3,1.5*(1-C140)^3,IF($B$4=4,2*(1-C140)^4+6*C140*(1-C140)^3,0)))</f>
        <v/>
      </c>
    </row>
    <row r="141">
      <c r="A141" s="51" t="n">
        <v>0.132</v>
      </c>
      <c r="B141" s="52">
        <f>$B$3*A141^2</f>
        <v/>
      </c>
      <c r="C141" s="52">
        <f>IF($B$4=3,IF(B141&lt;=0.5,1,(1-B141)/B141),IF($B$4=4,IF(B141&lt;=1/3,1,(-B141+SQRT(4*B141-3*B141^2))/(2*B141)),1))</f>
        <v/>
      </c>
      <c r="D141" s="51">
        <f>IF(A141&gt;$B$6+0.0000001,1E+30,$B$5*IF($B$4=3,1.5*(1-C141)^3,IF($B$4=4,2*(1-C141)^4+6*C141*(1-C141)^3,0)))</f>
        <v/>
      </c>
    </row>
    <row r="142">
      <c r="A142" s="51" t="n">
        <v>0.133</v>
      </c>
      <c r="B142" s="52">
        <f>$B$3*A142^2</f>
        <v/>
      </c>
      <c r="C142" s="52">
        <f>IF($B$4=3,IF(B142&lt;=0.5,1,(1-B142)/B142),IF($B$4=4,IF(B142&lt;=1/3,1,(-B142+SQRT(4*B142-3*B142^2))/(2*B142)),1))</f>
        <v/>
      </c>
      <c r="D142" s="51">
        <f>IF(A142&gt;$B$6+0.0000001,1E+30,$B$5*IF($B$4=3,1.5*(1-C142)^3,IF($B$4=4,2*(1-C142)^4+6*C142*(1-C142)^3,0)))</f>
        <v/>
      </c>
    </row>
    <row r="143">
      <c r="A143" s="51" t="n">
        <v>0.134</v>
      </c>
      <c r="B143" s="52">
        <f>$B$3*A143^2</f>
        <v/>
      </c>
      <c r="C143" s="52">
        <f>IF($B$4=3,IF(B143&lt;=0.5,1,(1-B143)/B143),IF($B$4=4,IF(B143&lt;=1/3,1,(-B143+SQRT(4*B143-3*B143^2))/(2*B143)),1))</f>
        <v/>
      </c>
      <c r="D143" s="51">
        <f>IF(A143&gt;$B$6+0.0000001,1E+30,$B$5*IF($B$4=3,1.5*(1-C143)^3,IF($B$4=4,2*(1-C143)^4+6*C143*(1-C143)^3,0)))</f>
        <v/>
      </c>
    </row>
    <row r="144">
      <c r="A144" s="51" t="n">
        <v>0.135</v>
      </c>
      <c r="B144" s="52">
        <f>$B$3*A144^2</f>
        <v/>
      </c>
      <c r="C144" s="52">
        <f>IF($B$4=3,IF(B144&lt;=0.5,1,(1-B144)/B144),IF($B$4=4,IF(B144&lt;=1/3,1,(-B144+SQRT(4*B144-3*B144^2))/(2*B144)),1))</f>
        <v/>
      </c>
      <c r="D144" s="51">
        <f>IF(A144&gt;$B$6+0.0000001,1E+30,$B$5*IF($B$4=3,1.5*(1-C144)^3,IF($B$4=4,2*(1-C144)^4+6*C144*(1-C144)^3,0)))</f>
        <v/>
      </c>
    </row>
    <row r="145">
      <c r="A145" s="51" t="n">
        <v>0.136</v>
      </c>
      <c r="B145" s="52">
        <f>$B$3*A145^2</f>
        <v/>
      </c>
      <c r="C145" s="52">
        <f>IF($B$4=3,IF(B145&lt;=0.5,1,(1-B145)/B145),IF($B$4=4,IF(B145&lt;=1/3,1,(-B145+SQRT(4*B145-3*B145^2))/(2*B145)),1))</f>
        <v/>
      </c>
      <c r="D145" s="51">
        <f>IF(A145&gt;$B$6+0.0000001,1E+30,$B$5*IF($B$4=3,1.5*(1-C145)^3,IF($B$4=4,2*(1-C145)^4+6*C145*(1-C145)^3,0)))</f>
        <v/>
      </c>
    </row>
    <row r="146">
      <c r="A146" s="51" t="n">
        <v>0.137</v>
      </c>
      <c r="B146" s="52">
        <f>$B$3*A146^2</f>
        <v/>
      </c>
      <c r="C146" s="52">
        <f>IF($B$4=3,IF(B146&lt;=0.5,1,(1-B146)/B146),IF($B$4=4,IF(B146&lt;=1/3,1,(-B146+SQRT(4*B146-3*B146^2))/(2*B146)),1))</f>
        <v/>
      </c>
      <c r="D146" s="51">
        <f>IF(A146&gt;$B$6+0.0000001,1E+30,$B$5*IF($B$4=3,1.5*(1-C146)^3,IF($B$4=4,2*(1-C146)^4+6*C146*(1-C146)^3,0)))</f>
        <v/>
      </c>
    </row>
    <row r="147">
      <c r="A147" s="51" t="n">
        <v>0.138</v>
      </c>
      <c r="B147" s="52">
        <f>$B$3*A147^2</f>
        <v/>
      </c>
      <c r="C147" s="52">
        <f>IF($B$4=3,IF(B147&lt;=0.5,1,(1-B147)/B147),IF($B$4=4,IF(B147&lt;=1/3,1,(-B147+SQRT(4*B147-3*B147^2))/(2*B147)),1))</f>
        <v/>
      </c>
      <c r="D147" s="51">
        <f>IF(A147&gt;$B$6+0.0000001,1E+30,$B$5*IF($B$4=3,1.5*(1-C147)^3,IF($B$4=4,2*(1-C147)^4+6*C147*(1-C147)^3,0)))</f>
        <v/>
      </c>
    </row>
    <row r="148">
      <c r="A148" s="51" t="n">
        <v>0.139</v>
      </c>
      <c r="B148" s="52">
        <f>$B$3*A148^2</f>
        <v/>
      </c>
      <c r="C148" s="52">
        <f>IF($B$4=3,IF(B148&lt;=0.5,1,(1-B148)/B148),IF($B$4=4,IF(B148&lt;=1/3,1,(-B148+SQRT(4*B148-3*B148^2))/(2*B148)),1))</f>
        <v/>
      </c>
      <c r="D148" s="51">
        <f>IF(A148&gt;$B$6+0.0000001,1E+30,$B$5*IF($B$4=3,1.5*(1-C148)^3,IF($B$4=4,2*(1-C148)^4+6*C148*(1-C148)^3,0)))</f>
        <v/>
      </c>
    </row>
    <row r="149">
      <c r="A149" s="51" t="n">
        <v>0.14</v>
      </c>
      <c r="B149" s="52">
        <f>$B$3*A149^2</f>
        <v/>
      </c>
      <c r="C149" s="52">
        <f>IF($B$4=3,IF(B149&lt;=0.5,1,(1-B149)/B149),IF($B$4=4,IF(B149&lt;=1/3,1,(-B149+SQRT(4*B149-3*B149^2))/(2*B149)),1))</f>
        <v/>
      </c>
      <c r="D149" s="51">
        <f>IF(A149&gt;$B$6+0.0000001,1E+30,$B$5*IF($B$4=3,1.5*(1-C149)^3,IF($B$4=4,2*(1-C149)^4+6*C149*(1-C149)^3,0)))</f>
        <v/>
      </c>
    </row>
    <row r="150">
      <c r="A150" s="51" t="n">
        <v>0.141</v>
      </c>
      <c r="B150" s="52">
        <f>$B$3*A150^2</f>
        <v/>
      </c>
      <c r="C150" s="52">
        <f>IF($B$4=3,IF(B150&lt;=0.5,1,(1-B150)/B150),IF($B$4=4,IF(B150&lt;=1/3,1,(-B150+SQRT(4*B150-3*B150^2))/(2*B150)),1))</f>
        <v/>
      </c>
      <c r="D150" s="51">
        <f>IF(A150&gt;$B$6+0.0000001,1E+30,$B$5*IF($B$4=3,1.5*(1-C150)^3,IF($B$4=4,2*(1-C150)^4+6*C150*(1-C150)^3,0)))</f>
        <v/>
      </c>
    </row>
    <row r="151">
      <c r="A151" s="51" t="n">
        <v>0.142</v>
      </c>
      <c r="B151" s="52">
        <f>$B$3*A151^2</f>
        <v/>
      </c>
      <c r="C151" s="52">
        <f>IF($B$4=3,IF(B151&lt;=0.5,1,(1-B151)/B151),IF($B$4=4,IF(B151&lt;=1/3,1,(-B151+SQRT(4*B151-3*B151^2))/(2*B151)),1))</f>
        <v/>
      </c>
      <c r="D151" s="51">
        <f>IF(A151&gt;$B$6+0.0000001,1E+30,$B$5*IF($B$4=3,1.5*(1-C151)^3,IF($B$4=4,2*(1-C151)^4+6*C151*(1-C151)^3,0)))</f>
        <v/>
      </c>
    </row>
    <row r="152">
      <c r="A152" s="51" t="n">
        <v>0.143</v>
      </c>
      <c r="B152" s="52">
        <f>$B$3*A152^2</f>
        <v/>
      </c>
      <c r="C152" s="52">
        <f>IF($B$4=3,IF(B152&lt;=0.5,1,(1-B152)/B152),IF($B$4=4,IF(B152&lt;=1/3,1,(-B152+SQRT(4*B152-3*B152^2))/(2*B152)),1))</f>
        <v/>
      </c>
      <c r="D152" s="51">
        <f>IF(A152&gt;$B$6+0.0000001,1E+30,$B$5*IF($B$4=3,1.5*(1-C152)^3,IF($B$4=4,2*(1-C152)^4+6*C152*(1-C152)^3,0)))</f>
        <v/>
      </c>
    </row>
    <row r="153">
      <c r="A153" s="51" t="n">
        <v>0.144</v>
      </c>
      <c r="B153" s="52">
        <f>$B$3*A153^2</f>
        <v/>
      </c>
      <c r="C153" s="52">
        <f>IF($B$4=3,IF(B153&lt;=0.5,1,(1-B153)/B153),IF($B$4=4,IF(B153&lt;=1/3,1,(-B153+SQRT(4*B153-3*B153^2))/(2*B153)),1))</f>
        <v/>
      </c>
      <c r="D153" s="51">
        <f>IF(A153&gt;$B$6+0.0000001,1E+30,$B$5*IF($B$4=3,1.5*(1-C153)^3,IF($B$4=4,2*(1-C153)^4+6*C153*(1-C153)^3,0)))</f>
        <v/>
      </c>
    </row>
    <row r="154">
      <c r="A154" s="51" t="n">
        <v>0.145</v>
      </c>
      <c r="B154" s="52">
        <f>$B$3*A154^2</f>
        <v/>
      </c>
      <c r="C154" s="52">
        <f>IF($B$4=3,IF(B154&lt;=0.5,1,(1-B154)/B154),IF($B$4=4,IF(B154&lt;=1/3,1,(-B154+SQRT(4*B154-3*B154^2))/(2*B154)),1))</f>
        <v/>
      </c>
      <c r="D154" s="51">
        <f>IF(A154&gt;$B$6+0.0000001,1E+30,$B$5*IF($B$4=3,1.5*(1-C154)^3,IF($B$4=4,2*(1-C154)^4+6*C154*(1-C154)^3,0)))</f>
        <v/>
      </c>
    </row>
    <row r="155">
      <c r="A155" s="51" t="n">
        <v>0.146</v>
      </c>
      <c r="B155" s="52">
        <f>$B$3*A155^2</f>
        <v/>
      </c>
      <c r="C155" s="52">
        <f>IF($B$4=3,IF(B155&lt;=0.5,1,(1-B155)/B155),IF($B$4=4,IF(B155&lt;=1/3,1,(-B155+SQRT(4*B155-3*B155^2))/(2*B155)),1))</f>
        <v/>
      </c>
      <c r="D155" s="51">
        <f>IF(A155&gt;$B$6+0.0000001,1E+30,$B$5*IF($B$4=3,1.5*(1-C155)^3,IF($B$4=4,2*(1-C155)^4+6*C155*(1-C155)^3,0)))</f>
        <v/>
      </c>
    </row>
    <row r="156">
      <c r="A156" s="51" t="n">
        <v>0.147</v>
      </c>
      <c r="B156" s="52">
        <f>$B$3*A156^2</f>
        <v/>
      </c>
      <c r="C156" s="52">
        <f>IF($B$4=3,IF(B156&lt;=0.5,1,(1-B156)/B156),IF($B$4=4,IF(B156&lt;=1/3,1,(-B156+SQRT(4*B156-3*B156^2))/(2*B156)),1))</f>
        <v/>
      </c>
      <c r="D156" s="51">
        <f>IF(A156&gt;$B$6+0.0000001,1E+30,$B$5*IF($B$4=3,1.5*(1-C156)^3,IF($B$4=4,2*(1-C156)^4+6*C156*(1-C156)^3,0)))</f>
        <v/>
      </c>
    </row>
    <row r="157">
      <c r="A157" s="51" t="n">
        <v>0.148</v>
      </c>
      <c r="B157" s="52">
        <f>$B$3*A157^2</f>
        <v/>
      </c>
      <c r="C157" s="52">
        <f>IF($B$4=3,IF(B157&lt;=0.5,1,(1-B157)/B157),IF($B$4=4,IF(B157&lt;=1/3,1,(-B157+SQRT(4*B157-3*B157^2))/(2*B157)),1))</f>
        <v/>
      </c>
      <c r="D157" s="51">
        <f>IF(A157&gt;$B$6+0.0000001,1E+30,$B$5*IF($B$4=3,1.5*(1-C157)^3,IF($B$4=4,2*(1-C157)^4+6*C157*(1-C157)^3,0)))</f>
        <v/>
      </c>
    </row>
    <row r="158">
      <c r="A158" s="51" t="n">
        <v>0.149</v>
      </c>
      <c r="B158" s="52">
        <f>$B$3*A158^2</f>
        <v/>
      </c>
      <c r="C158" s="52">
        <f>IF($B$4=3,IF(B158&lt;=0.5,1,(1-B158)/B158),IF($B$4=4,IF(B158&lt;=1/3,1,(-B158+SQRT(4*B158-3*B158^2))/(2*B158)),1))</f>
        <v/>
      </c>
      <c r="D158" s="51">
        <f>IF(A158&gt;$B$6+0.0000001,1E+30,$B$5*IF($B$4=3,1.5*(1-C158)^3,IF($B$4=4,2*(1-C158)^4+6*C158*(1-C158)^3,0)))</f>
        <v/>
      </c>
    </row>
    <row r="159">
      <c r="A159" s="51" t="n">
        <v>0.15</v>
      </c>
      <c r="B159" s="52">
        <f>$B$3*A159^2</f>
        <v/>
      </c>
      <c r="C159" s="52">
        <f>IF($B$4=3,IF(B159&lt;=0.5,1,(1-B159)/B159),IF($B$4=4,IF(B159&lt;=1/3,1,(-B159+SQRT(4*B159-3*B159^2))/(2*B159)),1))</f>
        <v/>
      </c>
      <c r="D159" s="51">
        <f>IF(A159&gt;$B$6+0.0000001,1E+30,$B$5*IF($B$4=3,1.5*(1-C159)^3,IF($B$4=4,2*(1-C159)^4+6*C159*(1-C159)^3,0)))</f>
        <v/>
      </c>
    </row>
    <row r="160">
      <c r="A160" s="51" t="n">
        <v>0.151</v>
      </c>
      <c r="B160" s="52">
        <f>$B$3*A160^2</f>
        <v/>
      </c>
      <c r="C160" s="52">
        <f>IF($B$4=3,IF(B160&lt;=0.5,1,(1-B160)/B160),IF($B$4=4,IF(B160&lt;=1/3,1,(-B160+SQRT(4*B160-3*B160^2))/(2*B160)),1))</f>
        <v/>
      </c>
      <c r="D160" s="51">
        <f>IF(A160&gt;$B$6+0.0000001,1E+30,$B$5*IF($B$4=3,1.5*(1-C160)^3,IF($B$4=4,2*(1-C160)^4+6*C160*(1-C160)^3,0)))</f>
        <v/>
      </c>
    </row>
    <row r="161">
      <c r="A161" s="51" t="n">
        <v>0.152</v>
      </c>
      <c r="B161" s="52">
        <f>$B$3*A161^2</f>
        <v/>
      </c>
      <c r="C161" s="52">
        <f>IF($B$4=3,IF(B161&lt;=0.5,1,(1-B161)/B161),IF($B$4=4,IF(B161&lt;=1/3,1,(-B161+SQRT(4*B161-3*B161^2))/(2*B161)),1))</f>
        <v/>
      </c>
      <c r="D161" s="51">
        <f>IF(A161&gt;$B$6+0.0000001,1E+30,$B$5*IF($B$4=3,1.5*(1-C161)^3,IF($B$4=4,2*(1-C161)^4+6*C161*(1-C161)^3,0)))</f>
        <v/>
      </c>
    </row>
    <row r="162">
      <c r="A162" s="51" t="n">
        <v>0.153</v>
      </c>
      <c r="B162" s="52">
        <f>$B$3*A162^2</f>
        <v/>
      </c>
      <c r="C162" s="52">
        <f>IF($B$4=3,IF(B162&lt;=0.5,1,(1-B162)/B162),IF($B$4=4,IF(B162&lt;=1/3,1,(-B162+SQRT(4*B162-3*B162^2))/(2*B162)),1))</f>
        <v/>
      </c>
      <c r="D162" s="51">
        <f>IF(A162&gt;$B$6+0.0000001,1E+30,$B$5*IF($B$4=3,1.5*(1-C162)^3,IF($B$4=4,2*(1-C162)^4+6*C162*(1-C162)^3,0)))</f>
        <v/>
      </c>
    </row>
    <row r="163">
      <c r="A163" s="51" t="n">
        <v>0.154</v>
      </c>
      <c r="B163" s="52">
        <f>$B$3*A163^2</f>
        <v/>
      </c>
      <c r="C163" s="52">
        <f>IF($B$4=3,IF(B163&lt;=0.5,1,(1-B163)/B163),IF($B$4=4,IF(B163&lt;=1/3,1,(-B163+SQRT(4*B163-3*B163^2))/(2*B163)),1))</f>
        <v/>
      </c>
      <c r="D163" s="51">
        <f>IF(A163&gt;$B$6+0.0000001,1E+30,$B$5*IF($B$4=3,1.5*(1-C163)^3,IF($B$4=4,2*(1-C163)^4+6*C163*(1-C163)^3,0)))</f>
        <v/>
      </c>
    </row>
    <row r="164">
      <c r="A164" s="51" t="n">
        <v>0.155</v>
      </c>
      <c r="B164" s="52">
        <f>$B$3*A164^2</f>
        <v/>
      </c>
      <c r="C164" s="52">
        <f>IF($B$4=3,IF(B164&lt;=0.5,1,(1-B164)/B164),IF($B$4=4,IF(B164&lt;=1/3,1,(-B164+SQRT(4*B164-3*B164^2))/(2*B164)),1))</f>
        <v/>
      </c>
      <c r="D164" s="51">
        <f>IF(A164&gt;$B$6+0.0000001,1E+30,$B$5*IF($B$4=3,1.5*(1-C164)^3,IF($B$4=4,2*(1-C164)^4+6*C164*(1-C164)^3,0)))</f>
        <v/>
      </c>
    </row>
    <row r="165">
      <c r="A165" s="51" t="n">
        <v>0.156</v>
      </c>
      <c r="B165" s="52">
        <f>$B$3*A165^2</f>
        <v/>
      </c>
      <c r="C165" s="52">
        <f>IF($B$4=3,IF(B165&lt;=0.5,1,(1-B165)/B165),IF($B$4=4,IF(B165&lt;=1/3,1,(-B165+SQRT(4*B165-3*B165^2))/(2*B165)),1))</f>
        <v/>
      </c>
      <c r="D165" s="51">
        <f>IF(A165&gt;$B$6+0.0000001,1E+30,$B$5*IF($B$4=3,1.5*(1-C165)^3,IF($B$4=4,2*(1-C165)^4+6*C165*(1-C165)^3,0)))</f>
        <v/>
      </c>
    </row>
    <row r="166">
      <c r="A166" s="51" t="n">
        <v>0.157</v>
      </c>
      <c r="B166" s="52">
        <f>$B$3*A166^2</f>
        <v/>
      </c>
      <c r="C166" s="52">
        <f>IF($B$4=3,IF(B166&lt;=0.5,1,(1-B166)/B166),IF($B$4=4,IF(B166&lt;=1/3,1,(-B166+SQRT(4*B166-3*B166^2))/(2*B166)),1))</f>
        <v/>
      </c>
      <c r="D166" s="51">
        <f>IF(A166&gt;$B$6+0.0000001,1E+30,$B$5*IF($B$4=3,1.5*(1-C166)^3,IF($B$4=4,2*(1-C166)^4+6*C166*(1-C166)^3,0)))</f>
        <v/>
      </c>
    </row>
    <row r="167">
      <c r="A167" s="51" t="n">
        <v>0.158</v>
      </c>
      <c r="B167" s="52">
        <f>$B$3*A167^2</f>
        <v/>
      </c>
      <c r="C167" s="52">
        <f>IF($B$4=3,IF(B167&lt;=0.5,1,(1-B167)/B167),IF($B$4=4,IF(B167&lt;=1/3,1,(-B167+SQRT(4*B167-3*B167^2))/(2*B167)),1))</f>
        <v/>
      </c>
      <c r="D167" s="51">
        <f>IF(A167&gt;$B$6+0.0000001,1E+30,$B$5*IF($B$4=3,1.5*(1-C167)^3,IF($B$4=4,2*(1-C167)^4+6*C167*(1-C167)^3,0)))</f>
        <v/>
      </c>
    </row>
    <row r="168">
      <c r="A168" s="51" t="n">
        <v>0.159</v>
      </c>
      <c r="B168" s="52">
        <f>$B$3*A168^2</f>
        <v/>
      </c>
      <c r="C168" s="52">
        <f>IF($B$4=3,IF(B168&lt;=0.5,1,(1-B168)/B168),IF($B$4=4,IF(B168&lt;=1/3,1,(-B168+SQRT(4*B168-3*B168^2))/(2*B168)),1))</f>
        <v/>
      </c>
      <c r="D168" s="51">
        <f>IF(A168&gt;$B$6+0.0000001,1E+30,$B$5*IF($B$4=3,1.5*(1-C168)^3,IF($B$4=4,2*(1-C168)^4+6*C168*(1-C168)^3,0)))</f>
        <v/>
      </c>
    </row>
    <row r="169">
      <c r="A169" s="51" t="n">
        <v>0.16</v>
      </c>
      <c r="B169" s="52">
        <f>$B$3*A169^2</f>
        <v/>
      </c>
      <c r="C169" s="52">
        <f>IF($B$4=3,IF(B169&lt;=0.5,1,(1-B169)/B169),IF($B$4=4,IF(B169&lt;=1/3,1,(-B169+SQRT(4*B169-3*B169^2))/(2*B169)),1))</f>
        <v/>
      </c>
      <c r="D169" s="51">
        <f>IF(A169&gt;$B$6+0.0000001,1E+30,$B$5*IF($B$4=3,1.5*(1-C169)^3,IF($B$4=4,2*(1-C169)^4+6*C169*(1-C169)^3,0)))</f>
        <v/>
      </c>
    </row>
    <row r="170">
      <c r="A170" s="51" t="n">
        <v>0.161</v>
      </c>
      <c r="B170" s="52">
        <f>$B$3*A170^2</f>
        <v/>
      </c>
      <c r="C170" s="52">
        <f>IF($B$4=3,IF(B170&lt;=0.5,1,(1-B170)/B170),IF($B$4=4,IF(B170&lt;=1/3,1,(-B170+SQRT(4*B170-3*B170^2))/(2*B170)),1))</f>
        <v/>
      </c>
      <c r="D170" s="51">
        <f>IF(A170&gt;$B$6+0.0000001,1E+30,$B$5*IF($B$4=3,1.5*(1-C170)^3,IF($B$4=4,2*(1-C170)^4+6*C170*(1-C170)^3,0)))</f>
        <v/>
      </c>
    </row>
    <row r="171">
      <c r="A171" s="51" t="n">
        <v>0.162</v>
      </c>
      <c r="B171" s="52">
        <f>$B$3*A171^2</f>
        <v/>
      </c>
      <c r="C171" s="52">
        <f>IF($B$4=3,IF(B171&lt;=0.5,1,(1-B171)/B171),IF($B$4=4,IF(B171&lt;=1/3,1,(-B171+SQRT(4*B171-3*B171^2))/(2*B171)),1))</f>
        <v/>
      </c>
      <c r="D171" s="51">
        <f>IF(A171&gt;$B$6+0.0000001,1E+30,$B$5*IF($B$4=3,1.5*(1-C171)^3,IF($B$4=4,2*(1-C171)^4+6*C171*(1-C171)^3,0)))</f>
        <v/>
      </c>
    </row>
    <row r="172">
      <c r="A172" s="51" t="n">
        <v>0.163</v>
      </c>
      <c r="B172" s="52">
        <f>$B$3*A172^2</f>
        <v/>
      </c>
      <c r="C172" s="52">
        <f>IF($B$4=3,IF(B172&lt;=0.5,1,(1-B172)/B172),IF($B$4=4,IF(B172&lt;=1/3,1,(-B172+SQRT(4*B172-3*B172^2))/(2*B172)),1))</f>
        <v/>
      </c>
      <c r="D172" s="51">
        <f>IF(A172&gt;$B$6+0.0000001,1E+30,$B$5*IF($B$4=3,1.5*(1-C172)^3,IF($B$4=4,2*(1-C172)^4+6*C172*(1-C172)^3,0)))</f>
        <v/>
      </c>
    </row>
    <row r="173">
      <c r="A173" s="51" t="n">
        <v>0.164</v>
      </c>
      <c r="B173" s="52">
        <f>$B$3*A173^2</f>
        <v/>
      </c>
      <c r="C173" s="52">
        <f>IF($B$4=3,IF(B173&lt;=0.5,1,(1-B173)/B173),IF($B$4=4,IF(B173&lt;=1/3,1,(-B173+SQRT(4*B173-3*B173^2))/(2*B173)),1))</f>
        <v/>
      </c>
      <c r="D173" s="51">
        <f>IF(A173&gt;$B$6+0.0000001,1E+30,$B$5*IF($B$4=3,1.5*(1-C173)^3,IF($B$4=4,2*(1-C173)^4+6*C173*(1-C173)^3,0)))</f>
        <v/>
      </c>
    </row>
    <row r="174">
      <c r="A174" s="51" t="n">
        <v>0.165</v>
      </c>
      <c r="B174" s="52">
        <f>$B$3*A174^2</f>
        <v/>
      </c>
      <c r="C174" s="52">
        <f>IF($B$4=3,IF(B174&lt;=0.5,1,(1-B174)/B174),IF($B$4=4,IF(B174&lt;=1/3,1,(-B174+SQRT(4*B174-3*B174^2))/(2*B174)),1))</f>
        <v/>
      </c>
      <c r="D174" s="51">
        <f>IF(A174&gt;$B$6+0.0000001,1E+30,$B$5*IF($B$4=3,1.5*(1-C174)^3,IF($B$4=4,2*(1-C174)^4+6*C174*(1-C174)^3,0)))</f>
        <v/>
      </c>
    </row>
    <row r="175">
      <c r="A175" s="51" t="n">
        <v>0.166</v>
      </c>
      <c r="B175" s="52">
        <f>$B$3*A175^2</f>
        <v/>
      </c>
      <c r="C175" s="52">
        <f>IF($B$4=3,IF(B175&lt;=0.5,1,(1-B175)/B175),IF($B$4=4,IF(B175&lt;=1/3,1,(-B175+SQRT(4*B175-3*B175^2))/(2*B175)),1))</f>
        <v/>
      </c>
      <c r="D175" s="51">
        <f>IF(A175&gt;$B$6+0.0000001,1E+30,$B$5*IF($B$4=3,1.5*(1-C175)^3,IF($B$4=4,2*(1-C175)^4+6*C175*(1-C175)^3,0)))</f>
        <v/>
      </c>
    </row>
    <row r="176">
      <c r="A176" s="51" t="n">
        <v>0.167</v>
      </c>
      <c r="B176" s="52">
        <f>$B$3*A176^2</f>
        <v/>
      </c>
      <c r="C176" s="52">
        <f>IF($B$4=3,IF(B176&lt;=0.5,1,(1-B176)/B176),IF($B$4=4,IF(B176&lt;=1/3,1,(-B176+SQRT(4*B176-3*B176^2))/(2*B176)),1))</f>
        <v/>
      </c>
      <c r="D176" s="51">
        <f>IF(A176&gt;$B$6+0.0000001,1E+30,$B$5*IF($B$4=3,1.5*(1-C176)^3,IF($B$4=4,2*(1-C176)^4+6*C176*(1-C176)^3,0)))</f>
        <v/>
      </c>
    </row>
    <row r="177">
      <c r="A177" s="51" t="n">
        <v>0.168</v>
      </c>
      <c r="B177" s="52">
        <f>$B$3*A177^2</f>
        <v/>
      </c>
      <c r="C177" s="52">
        <f>IF($B$4=3,IF(B177&lt;=0.5,1,(1-B177)/B177),IF($B$4=4,IF(B177&lt;=1/3,1,(-B177+SQRT(4*B177-3*B177^2))/(2*B177)),1))</f>
        <v/>
      </c>
      <c r="D177" s="51">
        <f>IF(A177&gt;$B$6+0.0000001,1E+30,$B$5*IF($B$4=3,1.5*(1-C177)^3,IF($B$4=4,2*(1-C177)^4+6*C177*(1-C177)^3,0)))</f>
        <v/>
      </c>
    </row>
    <row r="178">
      <c r="A178" s="51" t="n">
        <v>0.169</v>
      </c>
      <c r="B178" s="52">
        <f>$B$3*A178^2</f>
        <v/>
      </c>
      <c r="C178" s="52">
        <f>IF($B$4=3,IF(B178&lt;=0.5,1,(1-B178)/B178),IF($B$4=4,IF(B178&lt;=1/3,1,(-B178+SQRT(4*B178-3*B178^2))/(2*B178)),1))</f>
        <v/>
      </c>
      <c r="D178" s="51">
        <f>IF(A178&gt;$B$6+0.0000001,1E+30,$B$5*IF($B$4=3,1.5*(1-C178)^3,IF($B$4=4,2*(1-C178)^4+6*C178*(1-C178)^3,0)))</f>
        <v/>
      </c>
    </row>
    <row r="179">
      <c r="A179" s="51" t="n">
        <v>0.17</v>
      </c>
      <c r="B179" s="52">
        <f>$B$3*A179^2</f>
        <v/>
      </c>
      <c r="C179" s="52">
        <f>IF($B$4=3,IF(B179&lt;=0.5,1,(1-B179)/B179),IF($B$4=4,IF(B179&lt;=1/3,1,(-B179+SQRT(4*B179-3*B179^2))/(2*B179)),1))</f>
        <v/>
      </c>
      <c r="D179" s="51">
        <f>IF(A179&gt;$B$6+0.0000001,1E+30,$B$5*IF($B$4=3,1.5*(1-C179)^3,IF($B$4=4,2*(1-C179)^4+6*C179*(1-C179)^3,0)))</f>
        <v/>
      </c>
    </row>
    <row r="180">
      <c r="A180" s="51" t="n">
        <v>0.171</v>
      </c>
      <c r="B180" s="52">
        <f>$B$3*A180^2</f>
        <v/>
      </c>
      <c r="C180" s="52">
        <f>IF($B$4=3,IF(B180&lt;=0.5,1,(1-B180)/B180),IF($B$4=4,IF(B180&lt;=1/3,1,(-B180+SQRT(4*B180-3*B180^2))/(2*B180)),1))</f>
        <v/>
      </c>
      <c r="D180" s="51">
        <f>IF(A180&gt;$B$6+0.0000001,1E+30,$B$5*IF($B$4=3,1.5*(1-C180)^3,IF($B$4=4,2*(1-C180)^4+6*C180*(1-C180)^3,0)))</f>
        <v/>
      </c>
    </row>
    <row r="181">
      <c r="A181" s="51" t="n">
        <v>0.172</v>
      </c>
      <c r="B181" s="52">
        <f>$B$3*A181^2</f>
        <v/>
      </c>
      <c r="C181" s="52">
        <f>IF($B$4=3,IF(B181&lt;=0.5,1,(1-B181)/B181),IF($B$4=4,IF(B181&lt;=1/3,1,(-B181+SQRT(4*B181-3*B181^2))/(2*B181)),1))</f>
        <v/>
      </c>
      <c r="D181" s="51">
        <f>IF(A181&gt;$B$6+0.0000001,1E+30,$B$5*IF($B$4=3,1.5*(1-C181)^3,IF($B$4=4,2*(1-C181)^4+6*C181*(1-C181)^3,0)))</f>
        <v/>
      </c>
    </row>
    <row r="182">
      <c r="A182" s="51" t="n">
        <v>0.173</v>
      </c>
      <c r="B182" s="52">
        <f>$B$3*A182^2</f>
        <v/>
      </c>
      <c r="C182" s="52">
        <f>IF($B$4=3,IF(B182&lt;=0.5,1,(1-B182)/B182),IF($B$4=4,IF(B182&lt;=1/3,1,(-B182+SQRT(4*B182-3*B182^2))/(2*B182)),1))</f>
        <v/>
      </c>
      <c r="D182" s="51">
        <f>IF(A182&gt;$B$6+0.0000001,1E+30,$B$5*IF($B$4=3,1.5*(1-C182)^3,IF($B$4=4,2*(1-C182)^4+6*C182*(1-C182)^3,0)))</f>
        <v/>
      </c>
    </row>
    <row r="183">
      <c r="A183" s="51" t="n">
        <v>0.174</v>
      </c>
      <c r="B183" s="52">
        <f>$B$3*A183^2</f>
        <v/>
      </c>
      <c r="C183" s="52">
        <f>IF($B$4=3,IF(B183&lt;=0.5,1,(1-B183)/B183),IF($B$4=4,IF(B183&lt;=1/3,1,(-B183+SQRT(4*B183-3*B183^2))/(2*B183)),1))</f>
        <v/>
      </c>
      <c r="D183" s="51">
        <f>IF(A183&gt;$B$6+0.0000001,1E+30,$B$5*IF($B$4=3,1.5*(1-C183)^3,IF($B$4=4,2*(1-C183)^4+6*C183*(1-C183)^3,0)))</f>
        <v/>
      </c>
    </row>
    <row r="184">
      <c r="A184" s="51" t="n">
        <v>0.175</v>
      </c>
      <c r="B184" s="52">
        <f>$B$3*A184^2</f>
        <v/>
      </c>
      <c r="C184" s="52">
        <f>IF($B$4=3,IF(B184&lt;=0.5,1,(1-B184)/B184),IF($B$4=4,IF(B184&lt;=1/3,1,(-B184+SQRT(4*B184-3*B184^2))/(2*B184)),1))</f>
        <v/>
      </c>
      <c r="D184" s="51">
        <f>IF(A184&gt;$B$6+0.0000001,1E+30,$B$5*IF($B$4=3,1.5*(1-C184)^3,IF($B$4=4,2*(1-C184)^4+6*C184*(1-C184)^3,0)))</f>
        <v/>
      </c>
    </row>
    <row r="185">
      <c r="A185" s="51" t="n">
        <v>0.176</v>
      </c>
      <c r="B185" s="52">
        <f>$B$3*A185^2</f>
        <v/>
      </c>
      <c r="C185" s="52">
        <f>IF($B$4=3,IF(B185&lt;=0.5,1,(1-B185)/B185),IF($B$4=4,IF(B185&lt;=1/3,1,(-B185+SQRT(4*B185-3*B185^2))/(2*B185)),1))</f>
        <v/>
      </c>
      <c r="D185" s="51">
        <f>IF(A185&gt;$B$6+0.0000001,1E+30,$B$5*IF($B$4=3,1.5*(1-C185)^3,IF($B$4=4,2*(1-C185)^4+6*C185*(1-C185)^3,0)))</f>
        <v/>
      </c>
    </row>
    <row r="186">
      <c r="A186" s="51" t="n">
        <v>0.177</v>
      </c>
      <c r="B186" s="52">
        <f>$B$3*A186^2</f>
        <v/>
      </c>
      <c r="C186" s="52">
        <f>IF($B$4=3,IF(B186&lt;=0.5,1,(1-B186)/B186),IF($B$4=4,IF(B186&lt;=1/3,1,(-B186+SQRT(4*B186-3*B186^2))/(2*B186)),1))</f>
        <v/>
      </c>
      <c r="D186" s="51">
        <f>IF(A186&gt;$B$6+0.0000001,1E+30,$B$5*IF($B$4=3,1.5*(1-C186)^3,IF($B$4=4,2*(1-C186)^4+6*C186*(1-C186)^3,0)))</f>
        <v/>
      </c>
    </row>
    <row r="187">
      <c r="A187" s="51" t="n">
        <v>0.178</v>
      </c>
      <c r="B187" s="52">
        <f>$B$3*A187^2</f>
        <v/>
      </c>
      <c r="C187" s="52">
        <f>IF($B$4=3,IF(B187&lt;=0.5,1,(1-B187)/B187),IF($B$4=4,IF(B187&lt;=1/3,1,(-B187+SQRT(4*B187-3*B187^2))/(2*B187)),1))</f>
        <v/>
      </c>
      <c r="D187" s="51">
        <f>IF(A187&gt;$B$6+0.0000001,1E+30,$B$5*IF($B$4=3,1.5*(1-C187)^3,IF($B$4=4,2*(1-C187)^4+6*C187*(1-C187)^3,0)))</f>
        <v/>
      </c>
    </row>
    <row r="188">
      <c r="A188" s="51" t="n">
        <v>0.179</v>
      </c>
      <c r="B188" s="52">
        <f>$B$3*A188^2</f>
        <v/>
      </c>
      <c r="C188" s="52">
        <f>IF($B$4=3,IF(B188&lt;=0.5,1,(1-B188)/B188),IF($B$4=4,IF(B188&lt;=1/3,1,(-B188+SQRT(4*B188-3*B188^2))/(2*B188)),1))</f>
        <v/>
      </c>
      <c r="D188" s="51">
        <f>IF(A188&gt;$B$6+0.0000001,1E+30,$B$5*IF($B$4=3,1.5*(1-C188)^3,IF($B$4=4,2*(1-C188)^4+6*C188*(1-C188)^3,0)))</f>
        <v/>
      </c>
    </row>
    <row r="189">
      <c r="A189" s="51" t="n">
        <v>0.18</v>
      </c>
      <c r="B189" s="52">
        <f>$B$3*A189^2</f>
        <v/>
      </c>
      <c r="C189" s="52">
        <f>IF($B$4=3,IF(B189&lt;=0.5,1,(1-B189)/B189),IF($B$4=4,IF(B189&lt;=1/3,1,(-B189+SQRT(4*B189-3*B189^2))/(2*B189)),1))</f>
        <v/>
      </c>
      <c r="D189" s="51">
        <f>IF(A189&gt;$B$6+0.0000001,1E+30,$B$5*IF($B$4=3,1.5*(1-C189)^3,IF($B$4=4,2*(1-C189)^4+6*C189*(1-C189)^3,0)))</f>
        <v/>
      </c>
    </row>
    <row r="190">
      <c r="A190" s="51" t="n">
        <v>0.181</v>
      </c>
      <c r="B190" s="52">
        <f>$B$3*A190^2</f>
        <v/>
      </c>
      <c r="C190" s="52">
        <f>IF($B$4=3,IF(B190&lt;=0.5,1,(1-B190)/B190),IF($B$4=4,IF(B190&lt;=1/3,1,(-B190+SQRT(4*B190-3*B190^2))/(2*B190)),1))</f>
        <v/>
      </c>
      <c r="D190" s="51">
        <f>IF(A190&gt;$B$6+0.0000001,1E+30,$B$5*IF($B$4=3,1.5*(1-C190)^3,IF($B$4=4,2*(1-C190)^4+6*C190*(1-C190)^3,0)))</f>
        <v/>
      </c>
    </row>
    <row r="191">
      <c r="A191" s="51" t="n">
        <v>0.182</v>
      </c>
      <c r="B191" s="52">
        <f>$B$3*A191^2</f>
        <v/>
      </c>
      <c r="C191" s="52">
        <f>IF($B$4=3,IF(B191&lt;=0.5,1,(1-B191)/B191),IF($B$4=4,IF(B191&lt;=1/3,1,(-B191+SQRT(4*B191-3*B191^2))/(2*B191)),1))</f>
        <v/>
      </c>
      <c r="D191" s="51">
        <f>IF(A191&gt;$B$6+0.0000001,1E+30,$B$5*IF($B$4=3,1.5*(1-C191)^3,IF($B$4=4,2*(1-C191)^4+6*C191*(1-C191)^3,0)))</f>
        <v/>
      </c>
    </row>
    <row r="192">
      <c r="A192" s="51" t="n">
        <v>0.183</v>
      </c>
      <c r="B192" s="52">
        <f>$B$3*A192^2</f>
        <v/>
      </c>
      <c r="C192" s="52">
        <f>IF($B$4=3,IF(B192&lt;=0.5,1,(1-B192)/B192),IF($B$4=4,IF(B192&lt;=1/3,1,(-B192+SQRT(4*B192-3*B192^2))/(2*B192)),1))</f>
        <v/>
      </c>
      <c r="D192" s="51">
        <f>IF(A192&gt;$B$6+0.0000001,1E+30,$B$5*IF($B$4=3,1.5*(1-C192)^3,IF($B$4=4,2*(1-C192)^4+6*C192*(1-C192)^3,0)))</f>
        <v/>
      </c>
    </row>
    <row r="193">
      <c r="A193" s="51" t="n">
        <v>0.184</v>
      </c>
      <c r="B193" s="52">
        <f>$B$3*A193^2</f>
        <v/>
      </c>
      <c r="C193" s="52">
        <f>IF($B$4=3,IF(B193&lt;=0.5,1,(1-B193)/B193),IF($B$4=4,IF(B193&lt;=1/3,1,(-B193+SQRT(4*B193-3*B193^2))/(2*B193)),1))</f>
        <v/>
      </c>
      <c r="D193" s="51">
        <f>IF(A193&gt;$B$6+0.0000001,1E+30,$B$5*IF($B$4=3,1.5*(1-C193)^3,IF($B$4=4,2*(1-C193)^4+6*C193*(1-C193)^3,0)))</f>
        <v/>
      </c>
    </row>
    <row r="194">
      <c r="A194" s="51" t="n">
        <v>0.185</v>
      </c>
      <c r="B194" s="52">
        <f>$B$3*A194^2</f>
        <v/>
      </c>
      <c r="C194" s="52">
        <f>IF($B$4=3,IF(B194&lt;=0.5,1,(1-B194)/B194),IF($B$4=4,IF(B194&lt;=1/3,1,(-B194+SQRT(4*B194-3*B194^2))/(2*B194)),1))</f>
        <v/>
      </c>
      <c r="D194" s="51">
        <f>IF(A194&gt;$B$6+0.0000001,1E+30,$B$5*IF($B$4=3,1.5*(1-C194)^3,IF($B$4=4,2*(1-C194)^4+6*C194*(1-C194)^3,0)))</f>
        <v/>
      </c>
    </row>
    <row r="195">
      <c r="A195" s="51" t="n">
        <v>0.186</v>
      </c>
      <c r="B195" s="52">
        <f>$B$3*A195^2</f>
        <v/>
      </c>
      <c r="C195" s="52">
        <f>IF($B$4=3,IF(B195&lt;=0.5,1,(1-B195)/B195),IF($B$4=4,IF(B195&lt;=1/3,1,(-B195+SQRT(4*B195-3*B195^2))/(2*B195)),1))</f>
        <v/>
      </c>
      <c r="D195" s="51">
        <f>IF(A195&gt;$B$6+0.0000001,1E+30,$B$5*IF($B$4=3,1.5*(1-C195)^3,IF($B$4=4,2*(1-C195)^4+6*C195*(1-C195)^3,0)))</f>
        <v/>
      </c>
    </row>
    <row r="196">
      <c r="A196" s="51" t="n">
        <v>0.187</v>
      </c>
      <c r="B196" s="52">
        <f>$B$3*A196^2</f>
        <v/>
      </c>
      <c r="C196" s="52">
        <f>IF($B$4=3,IF(B196&lt;=0.5,1,(1-B196)/B196),IF($B$4=4,IF(B196&lt;=1/3,1,(-B196+SQRT(4*B196-3*B196^2))/(2*B196)),1))</f>
        <v/>
      </c>
      <c r="D196" s="51">
        <f>IF(A196&gt;$B$6+0.0000001,1E+30,$B$5*IF($B$4=3,1.5*(1-C196)^3,IF($B$4=4,2*(1-C196)^4+6*C196*(1-C196)^3,0)))</f>
        <v/>
      </c>
    </row>
    <row r="197">
      <c r="A197" s="51" t="n">
        <v>0.188</v>
      </c>
      <c r="B197" s="52">
        <f>$B$3*A197^2</f>
        <v/>
      </c>
      <c r="C197" s="52">
        <f>IF($B$4=3,IF(B197&lt;=0.5,1,(1-B197)/B197),IF($B$4=4,IF(B197&lt;=1/3,1,(-B197+SQRT(4*B197-3*B197^2))/(2*B197)),1))</f>
        <v/>
      </c>
      <c r="D197" s="51">
        <f>IF(A197&gt;$B$6+0.0000001,1E+30,$B$5*IF($B$4=3,1.5*(1-C197)^3,IF($B$4=4,2*(1-C197)^4+6*C197*(1-C197)^3,0)))</f>
        <v/>
      </c>
    </row>
    <row r="198">
      <c r="A198" s="51" t="n">
        <v>0.189</v>
      </c>
      <c r="B198" s="52">
        <f>$B$3*A198^2</f>
        <v/>
      </c>
      <c r="C198" s="52">
        <f>IF($B$4=3,IF(B198&lt;=0.5,1,(1-B198)/B198),IF($B$4=4,IF(B198&lt;=1/3,1,(-B198+SQRT(4*B198-3*B198^2))/(2*B198)),1))</f>
        <v/>
      </c>
      <c r="D198" s="51">
        <f>IF(A198&gt;$B$6+0.0000001,1E+30,$B$5*IF($B$4=3,1.5*(1-C198)^3,IF($B$4=4,2*(1-C198)^4+6*C198*(1-C198)^3,0)))</f>
        <v/>
      </c>
    </row>
    <row r="199">
      <c r="A199" s="51" t="n">
        <v>0.19</v>
      </c>
      <c r="B199" s="52">
        <f>$B$3*A199^2</f>
        <v/>
      </c>
      <c r="C199" s="52">
        <f>IF($B$4=3,IF(B199&lt;=0.5,1,(1-B199)/B199),IF($B$4=4,IF(B199&lt;=1/3,1,(-B199+SQRT(4*B199-3*B199^2))/(2*B199)),1))</f>
        <v/>
      </c>
      <c r="D199" s="51">
        <f>IF(A199&gt;$B$6+0.0000001,1E+30,$B$5*IF($B$4=3,1.5*(1-C199)^3,IF($B$4=4,2*(1-C199)^4+6*C199*(1-C199)^3,0)))</f>
        <v/>
      </c>
    </row>
    <row r="200">
      <c r="A200" s="51" t="n">
        <v>0.191</v>
      </c>
      <c r="B200" s="52">
        <f>$B$3*A200^2</f>
        <v/>
      </c>
      <c r="C200" s="52">
        <f>IF($B$4=3,IF(B200&lt;=0.5,1,(1-B200)/B200),IF($B$4=4,IF(B200&lt;=1/3,1,(-B200+SQRT(4*B200-3*B200^2))/(2*B200)),1))</f>
        <v/>
      </c>
      <c r="D200" s="51">
        <f>IF(A200&gt;$B$6+0.0000001,1E+30,$B$5*IF($B$4=3,1.5*(1-C200)^3,IF($B$4=4,2*(1-C200)^4+6*C200*(1-C200)^3,0)))</f>
        <v/>
      </c>
    </row>
    <row r="201">
      <c r="A201" s="51" t="n">
        <v>0.192</v>
      </c>
      <c r="B201" s="52">
        <f>$B$3*A201^2</f>
        <v/>
      </c>
      <c r="C201" s="52">
        <f>IF($B$4=3,IF(B201&lt;=0.5,1,(1-B201)/B201),IF($B$4=4,IF(B201&lt;=1/3,1,(-B201+SQRT(4*B201-3*B201^2))/(2*B201)),1))</f>
        <v/>
      </c>
      <c r="D201" s="51">
        <f>IF(A201&gt;$B$6+0.0000001,1E+30,$B$5*IF($B$4=3,1.5*(1-C201)^3,IF($B$4=4,2*(1-C201)^4+6*C201*(1-C201)^3,0)))</f>
        <v/>
      </c>
    </row>
    <row r="202">
      <c r="A202" s="51" t="n">
        <v>0.193</v>
      </c>
      <c r="B202" s="52">
        <f>$B$3*A202^2</f>
        <v/>
      </c>
      <c r="C202" s="52">
        <f>IF($B$4=3,IF(B202&lt;=0.5,1,(1-B202)/B202),IF($B$4=4,IF(B202&lt;=1/3,1,(-B202+SQRT(4*B202-3*B202^2))/(2*B202)),1))</f>
        <v/>
      </c>
      <c r="D202" s="51">
        <f>IF(A202&gt;$B$6+0.0000001,1E+30,$B$5*IF($B$4=3,1.5*(1-C202)^3,IF($B$4=4,2*(1-C202)^4+6*C202*(1-C202)^3,0)))</f>
        <v/>
      </c>
    </row>
    <row r="203">
      <c r="A203" s="51" t="n">
        <v>0.194</v>
      </c>
      <c r="B203" s="52">
        <f>$B$3*A203^2</f>
        <v/>
      </c>
      <c r="C203" s="52">
        <f>IF($B$4=3,IF(B203&lt;=0.5,1,(1-B203)/B203),IF($B$4=4,IF(B203&lt;=1/3,1,(-B203+SQRT(4*B203-3*B203^2))/(2*B203)),1))</f>
        <v/>
      </c>
      <c r="D203" s="51">
        <f>IF(A203&gt;$B$6+0.0000001,1E+30,$B$5*IF($B$4=3,1.5*(1-C203)^3,IF($B$4=4,2*(1-C203)^4+6*C203*(1-C203)^3,0)))</f>
        <v/>
      </c>
    </row>
    <row r="204">
      <c r="A204" s="51" t="n">
        <v>0.195</v>
      </c>
      <c r="B204" s="52">
        <f>$B$3*A204^2</f>
        <v/>
      </c>
      <c r="C204" s="52">
        <f>IF($B$4=3,IF(B204&lt;=0.5,1,(1-B204)/B204),IF($B$4=4,IF(B204&lt;=1/3,1,(-B204+SQRT(4*B204-3*B204^2))/(2*B204)),1))</f>
        <v/>
      </c>
      <c r="D204" s="51">
        <f>IF(A204&gt;$B$6+0.0000001,1E+30,$B$5*IF($B$4=3,1.5*(1-C204)^3,IF($B$4=4,2*(1-C204)^4+6*C204*(1-C204)^3,0)))</f>
        <v/>
      </c>
    </row>
    <row r="205">
      <c r="A205" s="51" t="n">
        <v>0.196</v>
      </c>
      <c r="B205" s="52">
        <f>$B$3*A205^2</f>
        <v/>
      </c>
      <c r="C205" s="52">
        <f>IF($B$4=3,IF(B205&lt;=0.5,1,(1-B205)/B205),IF($B$4=4,IF(B205&lt;=1/3,1,(-B205+SQRT(4*B205-3*B205^2))/(2*B205)),1))</f>
        <v/>
      </c>
      <c r="D205" s="51">
        <f>IF(A205&gt;$B$6+0.0000001,1E+30,$B$5*IF($B$4=3,1.5*(1-C205)^3,IF($B$4=4,2*(1-C205)^4+6*C205*(1-C205)^3,0)))</f>
        <v/>
      </c>
    </row>
    <row r="206">
      <c r="A206" s="51" t="n">
        <v>0.197</v>
      </c>
      <c r="B206" s="52">
        <f>$B$3*A206^2</f>
        <v/>
      </c>
      <c r="C206" s="52">
        <f>IF($B$4=3,IF(B206&lt;=0.5,1,(1-B206)/B206),IF($B$4=4,IF(B206&lt;=1/3,1,(-B206+SQRT(4*B206-3*B206^2))/(2*B206)),1))</f>
        <v/>
      </c>
      <c r="D206" s="51">
        <f>IF(A206&gt;$B$6+0.0000001,1E+30,$B$5*IF($B$4=3,1.5*(1-C206)^3,IF($B$4=4,2*(1-C206)^4+6*C206*(1-C206)^3,0)))</f>
        <v/>
      </c>
    </row>
    <row r="207">
      <c r="A207" s="51" t="n">
        <v>0.198</v>
      </c>
      <c r="B207" s="52">
        <f>$B$3*A207^2</f>
        <v/>
      </c>
      <c r="C207" s="52">
        <f>IF($B$4=3,IF(B207&lt;=0.5,1,(1-B207)/B207),IF($B$4=4,IF(B207&lt;=1/3,1,(-B207+SQRT(4*B207-3*B207^2))/(2*B207)),1))</f>
        <v/>
      </c>
      <c r="D207" s="51">
        <f>IF(A207&gt;$B$6+0.0000001,1E+30,$B$5*IF($B$4=3,1.5*(1-C207)^3,IF($B$4=4,2*(1-C207)^4+6*C207*(1-C207)^3,0)))</f>
        <v/>
      </c>
    </row>
    <row r="208">
      <c r="A208" s="51" t="n">
        <v>0.199</v>
      </c>
      <c r="B208" s="52">
        <f>$B$3*A208^2</f>
        <v/>
      </c>
      <c r="C208" s="52">
        <f>IF($B$4=3,IF(B208&lt;=0.5,1,(1-B208)/B208),IF($B$4=4,IF(B208&lt;=1/3,1,(-B208+SQRT(4*B208-3*B208^2))/(2*B208)),1))</f>
        <v/>
      </c>
      <c r="D208" s="51">
        <f>IF(A208&gt;$B$6+0.0000001,1E+30,$B$5*IF($B$4=3,1.5*(1-C208)^3,IF($B$4=4,2*(1-C208)^4+6*C208*(1-C208)^3,0)))</f>
        <v/>
      </c>
    </row>
    <row r="209">
      <c r="A209" s="51" t="n">
        <v>0.2</v>
      </c>
      <c r="B209" s="52">
        <f>$B$3*A209^2</f>
        <v/>
      </c>
      <c r="C209" s="52">
        <f>IF($B$4=3,IF(B209&lt;=0.5,1,(1-B209)/B209),IF($B$4=4,IF(B209&lt;=1/3,1,(-B209+SQRT(4*B209-3*B209^2))/(2*B209)),1))</f>
        <v/>
      </c>
      <c r="D209" s="51">
        <f>IF(A209&gt;$B$6+0.0000001,1E+30,$B$5*IF($B$4=3,1.5*(1-C209)^3,IF($B$4=4,2*(1-C209)^4+6*C209*(1-C209)^3,0)))</f>
        <v/>
      </c>
    </row>
    <row r="210">
      <c r="A210" s="51" t="n">
        <v>0.201</v>
      </c>
      <c r="B210" s="52">
        <f>$B$3*A210^2</f>
        <v/>
      </c>
      <c r="C210" s="52">
        <f>IF($B$4=3,IF(B210&lt;=0.5,1,(1-B210)/B210),IF($B$4=4,IF(B210&lt;=1/3,1,(-B210+SQRT(4*B210-3*B210^2))/(2*B210)),1))</f>
        <v/>
      </c>
      <c r="D210" s="51">
        <f>IF(A210&gt;$B$6+0.0000001,1E+30,$B$5*IF($B$4=3,1.5*(1-C210)^3,IF($B$4=4,2*(1-C210)^4+6*C210*(1-C210)^3,0)))</f>
        <v/>
      </c>
    </row>
    <row r="211">
      <c r="A211" s="51" t="n">
        <v>0.202</v>
      </c>
      <c r="B211" s="52">
        <f>$B$3*A211^2</f>
        <v/>
      </c>
      <c r="C211" s="52">
        <f>IF($B$4=3,IF(B211&lt;=0.5,1,(1-B211)/B211),IF($B$4=4,IF(B211&lt;=1/3,1,(-B211+SQRT(4*B211-3*B211^2))/(2*B211)),1))</f>
        <v/>
      </c>
      <c r="D211" s="51">
        <f>IF(A211&gt;$B$6+0.0000001,1E+30,$B$5*IF($B$4=3,1.5*(1-C211)^3,IF($B$4=4,2*(1-C211)^4+6*C211*(1-C211)^3,0)))</f>
        <v/>
      </c>
    </row>
    <row r="212">
      <c r="A212" s="51" t="n">
        <v>0.203</v>
      </c>
      <c r="B212" s="52">
        <f>$B$3*A212^2</f>
        <v/>
      </c>
      <c r="C212" s="52">
        <f>IF($B$4=3,IF(B212&lt;=0.5,1,(1-B212)/B212),IF($B$4=4,IF(B212&lt;=1/3,1,(-B212+SQRT(4*B212-3*B212^2))/(2*B212)),1))</f>
        <v/>
      </c>
      <c r="D212" s="51">
        <f>IF(A212&gt;$B$6+0.0000001,1E+30,$B$5*IF($B$4=3,1.5*(1-C212)^3,IF($B$4=4,2*(1-C212)^4+6*C212*(1-C212)^3,0)))</f>
        <v/>
      </c>
    </row>
    <row r="213">
      <c r="A213" s="51" t="n">
        <v>0.204</v>
      </c>
      <c r="B213" s="52">
        <f>$B$3*A213^2</f>
        <v/>
      </c>
      <c r="C213" s="52">
        <f>IF($B$4=3,IF(B213&lt;=0.5,1,(1-B213)/B213),IF($B$4=4,IF(B213&lt;=1/3,1,(-B213+SQRT(4*B213-3*B213^2))/(2*B213)),1))</f>
        <v/>
      </c>
      <c r="D213" s="51">
        <f>IF(A213&gt;$B$6+0.0000001,1E+30,$B$5*IF($B$4=3,1.5*(1-C213)^3,IF($B$4=4,2*(1-C213)^4+6*C213*(1-C213)^3,0)))</f>
        <v/>
      </c>
    </row>
    <row r="214">
      <c r="A214" s="51" t="n">
        <v>0.205</v>
      </c>
      <c r="B214" s="52">
        <f>$B$3*A214^2</f>
        <v/>
      </c>
      <c r="C214" s="52">
        <f>IF($B$4=3,IF(B214&lt;=0.5,1,(1-B214)/B214),IF($B$4=4,IF(B214&lt;=1/3,1,(-B214+SQRT(4*B214-3*B214^2))/(2*B214)),1))</f>
        <v/>
      </c>
      <c r="D214" s="51">
        <f>IF(A214&gt;$B$6+0.0000001,1E+30,$B$5*IF($B$4=3,1.5*(1-C214)^3,IF($B$4=4,2*(1-C214)^4+6*C214*(1-C214)^3,0)))</f>
        <v/>
      </c>
    </row>
    <row r="215">
      <c r="A215" s="51" t="n">
        <v>0.206</v>
      </c>
      <c r="B215" s="52">
        <f>$B$3*A215^2</f>
        <v/>
      </c>
      <c r="C215" s="52">
        <f>IF($B$4=3,IF(B215&lt;=0.5,1,(1-B215)/B215),IF($B$4=4,IF(B215&lt;=1/3,1,(-B215+SQRT(4*B215-3*B215^2))/(2*B215)),1))</f>
        <v/>
      </c>
      <c r="D215" s="51">
        <f>IF(A215&gt;$B$6+0.0000001,1E+30,$B$5*IF($B$4=3,1.5*(1-C215)^3,IF($B$4=4,2*(1-C215)^4+6*C215*(1-C215)^3,0)))</f>
        <v/>
      </c>
    </row>
    <row r="216">
      <c r="A216" s="51" t="n">
        <v>0.207</v>
      </c>
      <c r="B216" s="52">
        <f>$B$3*A216^2</f>
        <v/>
      </c>
      <c r="C216" s="52">
        <f>IF($B$4=3,IF(B216&lt;=0.5,1,(1-B216)/B216),IF($B$4=4,IF(B216&lt;=1/3,1,(-B216+SQRT(4*B216-3*B216^2))/(2*B216)),1))</f>
        <v/>
      </c>
      <c r="D216" s="51">
        <f>IF(A216&gt;$B$6+0.0000001,1E+30,$B$5*IF($B$4=3,1.5*(1-C216)^3,IF($B$4=4,2*(1-C216)^4+6*C216*(1-C216)^3,0)))</f>
        <v/>
      </c>
    </row>
    <row r="217">
      <c r="A217" s="51" t="n">
        <v>0.208</v>
      </c>
      <c r="B217" s="52">
        <f>$B$3*A217^2</f>
        <v/>
      </c>
      <c r="C217" s="52">
        <f>IF($B$4=3,IF(B217&lt;=0.5,1,(1-B217)/B217),IF($B$4=4,IF(B217&lt;=1/3,1,(-B217+SQRT(4*B217-3*B217^2))/(2*B217)),1))</f>
        <v/>
      </c>
      <c r="D217" s="51">
        <f>IF(A217&gt;$B$6+0.0000001,1E+30,$B$5*IF($B$4=3,1.5*(1-C217)^3,IF($B$4=4,2*(1-C217)^4+6*C217*(1-C217)^3,0)))</f>
        <v/>
      </c>
    </row>
    <row r="218">
      <c r="A218" s="51" t="n">
        <v>0.209</v>
      </c>
      <c r="B218" s="52">
        <f>$B$3*A218^2</f>
        <v/>
      </c>
      <c r="C218" s="52">
        <f>IF($B$4=3,IF(B218&lt;=0.5,1,(1-B218)/B218),IF($B$4=4,IF(B218&lt;=1/3,1,(-B218+SQRT(4*B218-3*B218^2))/(2*B218)),1))</f>
        <v/>
      </c>
      <c r="D218" s="51">
        <f>IF(A218&gt;$B$6+0.0000001,1E+30,$B$5*IF($B$4=3,1.5*(1-C218)^3,IF($B$4=4,2*(1-C218)^4+6*C218*(1-C218)^3,0)))</f>
        <v/>
      </c>
    </row>
    <row r="219">
      <c r="A219" s="51" t="n">
        <v>0.21</v>
      </c>
      <c r="B219" s="52">
        <f>$B$3*A219^2</f>
        <v/>
      </c>
      <c r="C219" s="52">
        <f>IF($B$4=3,IF(B219&lt;=0.5,1,(1-B219)/B219),IF($B$4=4,IF(B219&lt;=1/3,1,(-B219+SQRT(4*B219-3*B219^2))/(2*B219)),1))</f>
        <v/>
      </c>
      <c r="D219" s="51">
        <f>IF(A219&gt;$B$6+0.0000001,1E+30,$B$5*IF($B$4=3,1.5*(1-C219)^3,IF($B$4=4,2*(1-C219)^4+6*C219*(1-C219)^3,0)))</f>
        <v/>
      </c>
    </row>
    <row r="220">
      <c r="A220" s="51" t="n">
        <v>0.211</v>
      </c>
      <c r="B220" s="52">
        <f>$B$3*A220^2</f>
        <v/>
      </c>
      <c r="C220" s="52">
        <f>IF($B$4=3,IF(B220&lt;=0.5,1,(1-B220)/B220),IF($B$4=4,IF(B220&lt;=1/3,1,(-B220+SQRT(4*B220-3*B220^2))/(2*B220)),1))</f>
        <v/>
      </c>
      <c r="D220" s="51">
        <f>IF(A220&gt;$B$6+0.0000001,1E+30,$B$5*IF($B$4=3,1.5*(1-C220)^3,IF($B$4=4,2*(1-C220)^4+6*C220*(1-C220)^3,0)))</f>
        <v/>
      </c>
    </row>
    <row r="221">
      <c r="A221" s="51" t="n">
        <v>0.212</v>
      </c>
      <c r="B221" s="52">
        <f>$B$3*A221^2</f>
        <v/>
      </c>
      <c r="C221" s="52">
        <f>IF($B$4=3,IF(B221&lt;=0.5,1,(1-B221)/B221),IF($B$4=4,IF(B221&lt;=1/3,1,(-B221+SQRT(4*B221-3*B221^2))/(2*B221)),1))</f>
        <v/>
      </c>
      <c r="D221" s="51">
        <f>IF(A221&gt;$B$6+0.0000001,1E+30,$B$5*IF($B$4=3,1.5*(1-C221)^3,IF($B$4=4,2*(1-C221)^4+6*C221*(1-C221)^3,0)))</f>
        <v/>
      </c>
    </row>
    <row r="222">
      <c r="A222" s="51" t="n">
        <v>0.213</v>
      </c>
      <c r="B222" s="52">
        <f>$B$3*A222^2</f>
        <v/>
      </c>
      <c r="C222" s="52">
        <f>IF($B$4=3,IF(B222&lt;=0.5,1,(1-B222)/B222),IF($B$4=4,IF(B222&lt;=1/3,1,(-B222+SQRT(4*B222-3*B222^2))/(2*B222)),1))</f>
        <v/>
      </c>
      <c r="D222" s="51">
        <f>IF(A222&gt;$B$6+0.0000001,1E+30,$B$5*IF($B$4=3,1.5*(1-C222)^3,IF($B$4=4,2*(1-C222)^4+6*C222*(1-C222)^3,0)))</f>
        <v/>
      </c>
    </row>
    <row r="223">
      <c r="A223" s="51" t="n">
        <v>0.214</v>
      </c>
      <c r="B223" s="52">
        <f>$B$3*A223^2</f>
        <v/>
      </c>
      <c r="C223" s="52">
        <f>IF($B$4=3,IF(B223&lt;=0.5,1,(1-B223)/B223),IF($B$4=4,IF(B223&lt;=1/3,1,(-B223+SQRT(4*B223-3*B223^2))/(2*B223)),1))</f>
        <v/>
      </c>
      <c r="D223" s="51">
        <f>IF(A223&gt;$B$6+0.0000001,1E+30,$B$5*IF($B$4=3,1.5*(1-C223)^3,IF($B$4=4,2*(1-C223)^4+6*C223*(1-C223)^3,0)))</f>
        <v/>
      </c>
    </row>
    <row r="224">
      <c r="A224" s="51" t="n">
        <v>0.215</v>
      </c>
      <c r="B224" s="52">
        <f>$B$3*A224^2</f>
        <v/>
      </c>
      <c r="C224" s="52">
        <f>IF($B$4=3,IF(B224&lt;=0.5,1,(1-B224)/B224),IF($B$4=4,IF(B224&lt;=1/3,1,(-B224+SQRT(4*B224-3*B224^2))/(2*B224)),1))</f>
        <v/>
      </c>
      <c r="D224" s="51">
        <f>IF(A224&gt;$B$6+0.0000001,1E+30,$B$5*IF($B$4=3,1.5*(1-C224)^3,IF($B$4=4,2*(1-C224)^4+6*C224*(1-C224)^3,0)))</f>
        <v/>
      </c>
    </row>
    <row r="225">
      <c r="A225" s="51" t="n">
        <v>0.216</v>
      </c>
      <c r="B225" s="52">
        <f>$B$3*A225^2</f>
        <v/>
      </c>
      <c r="C225" s="52">
        <f>IF($B$4=3,IF(B225&lt;=0.5,1,(1-B225)/B225),IF($B$4=4,IF(B225&lt;=1/3,1,(-B225+SQRT(4*B225-3*B225^2))/(2*B225)),1))</f>
        <v/>
      </c>
      <c r="D225" s="51">
        <f>IF(A225&gt;$B$6+0.0000001,1E+30,$B$5*IF($B$4=3,1.5*(1-C225)^3,IF($B$4=4,2*(1-C225)^4+6*C225*(1-C225)^3,0)))</f>
        <v/>
      </c>
    </row>
    <row r="226">
      <c r="A226" s="51" t="n">
        <v>0.217</v>
      </c>
      <c r="B226" s="52">
        <f>$B$3*A226^2</f>
        <v/>
      </c>
      <c r="C226" s="52">
        <f>IF($B$4=3,IF(B226&lt;=0.5,1,(1-B226)/B226),IF($B$4=4,IF(B226&lt;=1/3,1,(-B226+SQRT(4*B226-3*B226^2))/(2*B226)),1))</f>
        <v/>
      </c>
      <c r="D226" s="51">
        <f>IF(A226&gt;$B$6+0.0000001,1E+30,$B$5*IF($B$4=3,1.5*(1-C226)^3,IF($B$4=4,2*(1-C226)^4+6*C226*(1-C226)^3,0)))</f>
        <v/>
      </c>
    </row>
    <row r="227">
      <c r="A227" s="51" t="n">
        <v>0.218</v>
      </c>
      <c r="B227" s="52">
        <f>$B$3*A227^2</f>
        <v/>
      </c>
      <c r="C227" s="52">
        <f>IF($B$4=3,IF(B227&lt;=0.5,1,(1-B227)/B227),IF($B$4=4,IF(B227&lt;=1/3,1,(-B227+SQRT(4*B227-3*B227^2))/(2*B227)),1))</f>
        <v/>
      </c>
      <c r="D227" s="51">
        <f>IF(A227&gt;$B$6+0.0000001,1E+30,$B$5*IF($B$4=3,1.5*(1-C227)^3,IF($B$4=4,2*(1-C227)^4+6*C227*(1-C227)^3,0)))</f>
        <v/>
      </c>
    </row>
    <row r="228">
      <c r="A228" s="51" t="n">
        <v>0.219</v>
      </c>
      <c r="B228" s="52">
        <f>$B$3*A228^2</f>
        <v/>
      </c>
      <c r="C228" s="52">
        <f>IF($B$4=3,IF(B228&lt;=0.5,1,(1-B228)/B228),IF($B$4=4,IF(B228&lt;=1/3,1,(-B228+SQRT(4*B228-3*B228^2))/(2*B228)),1))</f>
        <v/>
      </c>
      <c r="D228" s="51">
        <f>IF(A228&gt;$B$6+0.0000001,1E+30,$B$5*IF($B$4=3,1.5*(1-C228)^3,IF($B$4=4,2*(1-C228)^4+6*C228*(1-C228)^3,0)))</f>
        <v/>
      </c>
    </row>
    <row r="229">
      <c r="A229" s="51" t="n">
        <v>0.22</v>
      </c>
      <c r="B229" s="52">
        <f>$B$3*A229^2</f>
        <v/>
      </c>
      <c r="C229" s="52">
        <f>IF($B$4=3,IF(B229&lt;=0.5,1,(1-B229)/B229),IF($B$4=4,IF(B229&lt;=1/3,1,(-B229+SQRT(4*B229-3*B229^2))/(2*B229)),1))</f>
        <v/>
      </c>
      <c r="D229" s="51">
        <f>IF(A229&gt;$B$6+0.0000001,1E+30,$B$5*IF($B$4=3,1.5*(1-C229)^3,IF($B$4=4,2*(1-C229)^4+6*C229*(1-C229)^3,0)))</f>
        <v/>
      </c>
    </row>
    <row r="230">
      <c r="A230" s="51" t="n">
        <v>0.221</v>
      </c>
      <c r="B230" s="52">
        <f>$B$3*A230^2</f>
        <v/>
      </c>
      <c r="C230" s="52">
        <f>IF($B$4=3,IF(B230&lt;=0.5,1,(1-B230)/B230),IF($B$4=4,IF(B230&lt;=1/3,1,(-B230+SQRT(4*B230-3*B230^2))/(2*B230)),1))</f>
        <v/>
      </c>
      <c r="D230" s="51">
        <f>IF(A230&gt;$B$6+0.0000001,1E+30,$B$5*IF($B$4=3,1.5*(1-C230)^3,IF($B$4=4,2*(1-C230)^4+6*C230*(1-C230)^3,0)))</f>
        <v/>
      </c>
    </row>
    <row r="231">
      <c r="A231" s="51" t="n">
        <v>0.222</v>
      </c>
      <c r="B231" s="52">
        <f>$B$3*A231^2</f>
        <v/>
      </c>
      <c r="C231" s="52">
        <f>IF($B$4=3,IF(B231&lt;=0.5,1,(1-B231)/B231),IF($B$4=4,IF(B231&lt;=1/3,1,(-B231+SQRT(4*B231-3*B231^2))/(2*B231)),1))</f>
        <v/>
      </c>
      <c r="D231" s="51">
        <f>IF(A231&gt;$B$6+0.0000001,1E+30,$B$5*IF($B$4=3,1.5*(1-C231)^3,IF($B$4=4,2*(1-C231)^4+6*C231*(1-C231)^3,0)))</f>
        <v/>
      </c>
    </row>
    <row r="232">
      <c r="A232" s="51" t="n">
        <v>0.223</v>
      </c>
      <c r="B232" s="52">
        <f>$B$3*A232^2</f>
        <v/>
      </c>
      <c r="C232" s="52">
        <f>IF($B$4=3,IF(B232&lt;=0.5,1,(1-B232)/B232),IF($B$4=4,IF(B232&lt;=1/3,1,(-B232+SQRT(4*B232-3*B232^2))/(2*B232)),1))</f>
        <v/>
      </c>
      <c r="D232" s="51">
        <f>IF(A232&gt;$B$6+0.0000001,1E+30,$B$5*IF($B$4=3,1.5*(1-C232)^3,IF($B$4=4,2*(1-C232)^4+6*C232*(1-C232)^3,0)))</f>
        <v/>
      </c>
    </row>
    <row r="233">
      <c r="A233" s="51" t="n">
        <v>0.224</v>
      </c>
      <c r="B233" s="52">
        <f>$B$3*A233^2</f>
        <v/>
      </c>
      <c r="C233" s="52">
        <f>IF($B$4=3,IF(B233&lt;=0.5,1,(1-B233)/B233),IF($B$4=4,IF(B233&lt;=1/3,1,(-B233+SQRT(4*B233-3*B233^2))/(2*B233)),1))</f>
        <v/>
      </c>
      <c r="D233" s="51">
        <f>IF(A233&gt;$B$6+0.0000001,1E+30,$B$5*IF($B$4=3,1.5*(1-C233)^3,IF($B$4=4,2*(1-C233)^4+6*C233*(1-C233)^3,0)))</f>
        <v/>
      </c>
    </row>
    <row r="234">
      <c r="A234" s="51" t="n">
        <v>0.225</v>
      </c>
      <c r="B234" s="52">
        <f>$B$3*A234^2</f>
        <v/>
      </c>
      <c r="C234" s="52">
        <f>IF($B$4=3,IF(B234&lt;=0.5,1,(1-B234)/B234),IF($B$4=4,IF(B234&lt;=1/3,1,(-B234+SQRT(4*B234-3*B234^2))/(2*B234)),1))</f>
        <v/>
      </c>
      <c r="D234" s="51">
        <f>IF(A234&gt;$B$6+0.0000001,1E+30,$B$5*IF($B$4=3,1.5*(1-C234)^3,IF($B$4=4,2*(1-C234)^4+6*C234*(1-C234)^3,0)))</f>
        <v/>
      </c>
    </row>
    <row r="235">
      <c r="A235" s="51" t="n">
        <v>0.226</v>
      </c>
      <c r="B235" s="52">
        <f>$B$3*A235^2</f>
        <v/>
      </c>
      <c r="C235" s="52">
        <f>IF($B$4=3,IF(B235&lt;=0.5,1,(1-B235)/B235),IF($B$4=4,IF(B235&lt;=1/3,1,(-B235+SQRT(4*B235-3*B235^2))/(2*B235)),1))</f>
        <v/>
      </c>
      <c r="D235" s="51">
        <f>IF(A235&gt;$B$6+0.0000001,1E+30,$B$5*IF($B$4=3,1.5*(1-C235)^3,IF($B$4=4,2*(1-C235)^4+6*C235*(1-C235)^3,0)))</f>
        <v/>
      </c>
    </row>
    <row r="236">
      <c r="A236" s="51" t="n">
        <v>0.227</v>
      </c>
      <c r="B236" s="52">
        <f>$B$3*A236^2</f>
        <v/>
      </c>
      <c r="C236" s="52">
        <f>IF($B$4=3,IF(B236&lt;=0.5,1,(1-B236)/B236),IF($B$4=4,IF(B236&lt;=1/3,1,(-B236+SQRT(4*B236-3*B236^2))/(2*B236)),1))</f>
        <v/>
      </c>
      <c r="D236" s="51">
        <f>IF(A236&gt;$B$6+0.0000001,1E+30,$B$5*IF($B$4=3,1.5*(1-C236)^3,IF($B$4=4,2*(1-C236)^4+6*C236*(1-C236)^3,0)))</f>
        <v/>
      </c>
    </row>
    <row r="237">
      <c r="A237" s="51" t="n">
        <v>0.228</v>
      </c>
      <c r="B237" s="52">
        <f>$B$3*A237^2</f>
        <v/>
      </c>
      <c r="C237" s="52">
        <f>IF($B$4=3,IF(B237&lt;=0.5,1,(1-B237)/B237),IF($B$4=4,IF(B237&lt;=1/3,1,(-B237+SQRT(4*B237-3*B237^2))/(2*B237)),1))</f>
        <v/>
      </c>
      <c r="D237" s="51">
        <f>IF(A237&gt;$B$6+0.0000001,1E+30,$B$5*IF($B$4=3,1.5*(1-C237)^3,IF($B$4=4,2*(1-C237)^4+6*C237*(1-C237)^3,0)))</f>
        <v/>
      </c>
    </row>
    <row r="238">
      <c r="A238" s="51" t="n">
        <v>0.229</v>
      </c>
      <c r="B238" s="52">
        <f>$B$3*A238^2</f>
        <v/>
      </c>
      <c r="C238" s="52">
        <f>IF($B$4=3,IF(B238&lt;=0.5,1,(1-B238)/B238),IF($B$4=4,IF(B238&lt;=1/3,1,(-B238+SQRT(4*B238-3*B238^2))/(2*B238)),1))</f>
        <v/>
      </c>
      <c r="D238" s="51">
        <f>IF(A238&gt;$B$6+0.0000001,1E+30,$B$5*IF($B$4=3,1.5*(1-C238)^3,IF($B$4=4,2*(1-C238)^4+6*C238*(1-C238)^3,0)))</f>
        <v/>
      </c>
    </row>
    <row r="239">
      <c r="A239" s="51" t="n">
        <v>0.23</v>
      </c>
      <c r="B239" s="52">
        <f>$B$3*A239^2</f>
        <v/>
      </c>
      <c r="C239" s="52">
        <f>IF($B$4=3,IF(B239&lt;=0.5,1,(1-B239)/B239),IF($B$4=4,IF(B239&lt;=1/3,1,(-B239+SQRT(4*B239-3*B239^2))/(2*B239)),1))</f>
        <v/>
      </c>
      <c r="D239" s="51">
        <f>IF(A239&gt;$B$6+0.0000001,1E+30,$B$5*IF($B$4=3,1.5*(1-C239)^3,IF($B$4=4,2*(1-C239)^4+6*C239*(1-C239)^3,0)))</f>
        <v/>
      </c>
    </row>
    <row r="240">
      <c r="A240" s="51" t="n">
        <v>0.231</v>
      </c>
      <c r="B240" s="52">
        <f>$B$3*A240^2</f>
        <v/>
      </c>
      <c r="C240" s="52">
        <f>IF($B$4=3,IF(B240&lt;=0.5,1,(1-B240)/B240),IF($B$4=4,IF(B240&lt;=1/3,1,(-B240+SQRT(4*B240-3*B240^2))/(2*B240)),1))</f>
        <v/>
      </c>
      <c r="D240" s="51">
        <f>IF(A240&gt;$B$6+0.0000001,1E+30,$B$5*IF($B$4=3,1.5*(1-C240)^3,IF($B$4=4,2*(1-C240)^4+6*C240*(1-C240)^3,0)))</f>
        <v/>
      </c>
    </row>
    <row r="241">
      <c r="A241" s="51" t="n">
        <v>0.232</v>
      </c>
      <c r="B241" s="52">
        <f>$B$3*A241^2</f>
        <v/>
      </c>
      <c r="C241" s="52">
        <f>IF($B$4=3,IF(B241&lt;=0.5,1,(1-B241)/B241),IF($B$4=4,IF(B241&lt;=1/3,1,(-B241+SQRT(4*B241-3*B241^2))/(2*B241)),1))</f>
        <v/>
      </c>
      <c r="D241" s="51">
        <f>IF(A241&gt;$B$6+0.0000001,1E+30,$B$5*IF($B$4=3,1.5*(1-C241)^3,IF($B$4=4,2*(1-C241)^4+6*C241*(1-C241)^3,0)))</f>
        <v/>
      </c>
    </row>
    <row r="242">
      <c r="A242" s="51" t="n">
        <v>0.233</v>
      </c>
      <c r="B242" s="52">
        <f>$B$3*A242^2</f>
        <v/>
      </c>
      <c r="C242" s="52">
        <f>IF($B$4=3,IF(B242&lt;=0.5,1,(1-B242)/B242),IF($B$4=4,IF(B242&lt;=1/3,1,(-B242+SQRT(4*B242-3*B242^2))/(2*B242)),1))</f>
        <v/>
      </c>
      <c r="D242" s="51">
        <f>IF(A242&gt;$B$6+0.0000001,1E+30,$B$5*IF($B$4=3,1.5*(1-C242)^3,IF($B$4=4,2*(1-C242)^4+6*C242*(1-C242)^3,0)))</f>
        <v/>
      </c>
    </row>
    <row r="243">
      <c r="A243" s="51" t="n">
        <v>0.234</v>
      </c>
      <c r="B243" s="52">
        <f>$B$3*A243^2</f>
        <v/>
      </c>
      <c r="C243" s="52">
        <f>IF($B$4=3,IF(B243&lt;=0.5,1,(1-B243)/B243),IF($B$4=4,IF(B243&lt;=1/3,1,(-B243+SQRT(4*B243-3*B243^2))/(2*B243)),1))</f>
        <v/>
      </c>
      <c r="D243" s="51">
        <f>IF(A243&gt;$B$6+0.0000001,1E+30,$B$5*IF($B$4=3,1.5*(1-C243)^3,IF($B$4=4,2*(1-C243)^4+6*C243*(1-C243)^3,0)))</f>
        <v/>
      </c>
    </row>
    <row r="244">
      <c r="A244" s="51" t="n">
        <v>0.235</v>
      </c>
      <c r="B244" s="52">
        <f>$B$3*A244^2</f>
        <v/>
      </c>
      <c r="C244" s="52">
        <f>IF($B$4=3,IF(B244&lt;=0.5,1,(1-B244)/B244),IF($B$4=4,IF(B244&lt;=1/3,1,(-B244+SQRT(4*B244-3*B244^2))/(2*B244)),1))</f>
        <v/>
      </c>
      <c r="D244" s="51">
        <f>IF(A244&gt;$B$6+0.0000001,1E+30,$B$5*IF($B$4=3,1.5*(1-C244)^3,IF($B$4=4,2*(1-C244)^4+6*C244*(1-C244)^3,0)))</f>
        <v/>
      </c>
    </row>
    <row r="245">
      <c r="A245" s="51" t="n">
        <v>0.236</v>
      </c>
      <c r="B245" s="52">
        <f>$B$3*A245^2</f>
        <v/>
      </c>
      <c r="C245" s="52">
        <f>IF($B$4=3,IF(B245&lt;=0.5,1,(1-B245)/B245),IF($B$4=4,IF(B245&lt;=1/3,1,(-B245+SQRT(4*B245-3*B245^2))/(2*B245)),1))</f>
        <v/>
      </c>
      <c r="D245" s="51">
        <f>IF(A245&gt;$B$6+0.0000001,1E+30,$B$5*IF($B$4=3,1.5*(1-C245)^3,IF($B$4=4,2*(1-C245)^4+6*C245*(1-C245)^3,0)))</f>
        <v/>
      </c>
    </row>
    <row r="246">
      <c r="A246" s="51" t="n">
        <v>0.237</v>
      </c>
      <c r="B246" s="52">
        <f>$B$3*A246^2</f>
        <v/>
      </c>
      <c r="C246" s="52">
        <f>IF($B$4=3,IF(B246&lt;=0.5,1,(1-B246)/B246),IF($B$4=4,IF(B246&lt;=1/3,1,(-B246+SQRT(4*B246-3*B246^2))/(2*B246)),1))</f>
        <v/>
      </c>
      <c r="D246" s="51">
        <f>IF(A246&gt;$B$6+0.0000001,1E+30,$B$5*IF($B$4=3,1.5*(1-C246)^3,IF($B$4=4,2*(1-C246)^4+6*C246*(1-C246)^3,0)))</f>
        <v/>
      </c>
    </row>
    <row r="247">
      <c r="A247" s="51" t="n">
        <v>0.238</v>
      </c>
      <c r="B247" s="52">
        <f>$B$3*A247^2</f>
        <v/>
      </c>
      <c r="C247" s="52">
        <f>IF($B$4=3,IF(B247&lt;=0.5,1,(1-B247)/B247),IF($B$4=4,IF(B247&lt;=1/3,1,(-B247+SQRT(4*B247-3*B247^2))/(2*B247)),1))</f>
        <v/>
      </c>
      <c r="D247" s="51">
        <f>IF(A247&gt;$B$6+0.0000001,1E+30,$B$5*IF($B$4=3,1.5*(1-C247)^3,IF($B$4=4,2*(1-C247)^4+6*C247*(1-C247)^3,0)))</f>
        <v/>
      </c>
    </row>
    <row r="248">
      <c r="A248" s="51" t="n">
        <v>0.239</v>
      </c>
      <c r="B248" s="52">
        <f>$B$3*A248^2</f>
        <v/>
      </c>
      <c r="C248" s="52">
        <f>IF($B$4=3,IF(B248&lt;=0.5,1,(1-B248)/B248),IF($B$4=4,IF(B248&lt;=1/3,1,(-B248+SQRT(4*B248-3*B248^2))/(2*B248)),1))</f>
        <v/>
      </c>
      <c r="D248" s="51">
        <f>IF(A248&gt;$B$6+0.0000001,1E+30,$B$5*IF($B$4=3,1.5*(1-C248)^3,IF($B$4=4,2*(1-C248)^4+6*C248*(1-C248)^3,0)))</f>
        <v/>
      </c>
    </row>
    <row r="249">
      <c r="A249" s="51" t="n">
        <v>0.24</v>
      </c>
      <c r="B249" s="52">
        <f>$B$3*A249^2</f>
        <v/>
      </c>
      <c r="C249" s="52">
        <f>IF($B$4=3,IF(B249&lt;=0.5,1,(1-B249)/B249),IF($B$4=4,IF(B249&lt;=1/3,1,(-B249+SQRT(4*B249-3*B249^2))/(2*B249)),1))</f>
        <v/>
      </c>
      <c r="D249" s="51">
        <f>IF(A249&gt;$B$6+0.0000001,1E+30,$B$5*IF($B$4=3,1.5*(1-C249)^3,IF($B$4=4,2*(1-C249)^4+6*C249*(1-C249)^3,0)))</f>
        <v/>
      </c>
    </row>
    <row r="250">
      <c r="A250" s="51" t="n">
        <v>0.241</v>
      </c>
      <c r="B250" s="52">
        <f>$B$3*A250^2</f>
        <v/>
      </c>
      <c r="C250" s="52">
        <f>IF($B$4=3,IF(B250&lt;=0.5,1,(1-B250)/B250),IF($B$4=4,IF(B250&lt;=1/3,1,(-B250+SQRT(4*B250-3*B250^2))/(2*B250)),1))</f>
        <v/>
      </c>
      <c r="D250" s="51">
        <f>IF(A250&gt;$B$6+0.0000001,1E+30,$B$5*IF($B$4=3,1.5*(1-C250)^3,IF($B$4=4,2*(1-C250)^4+6*C250*(1-C250)^3,0)))</f>
        <v/>
      </c>
    </row>
    <row r="251">
      <c r="A251" s="51" t="n">
        <v>0.242</v>
      </c>
      <c r="B251" s="52">
        <f>$B$3*A251^2</f>
        <v/>
      </c>
      <c r="C251" s="52">
        <f>IF($B$4=3,IF(B251&lt;=0.5,1,(1-B251)/B251),IF($B$4=4,IF(B251&lt;=1/3,1,(-B251+SQRT(4*B251-3*B251^2))/(2*B251)),1))</f>
        <v/>
      </c>
      <c r="D251" s="51">
        <f>IF(A251&gt;$B$6+0.0000001,1E+30,$B$5*IF($B$4=3,1.5*(1-C251)^3,IF($B$4=4,2*(1-C251)^4+6*C251*(1-C251)^3,0)))</f>
        <v/>
      </c>
    </row>
    <row r="252">
      <c r="A252" s="51" t="n">
        <v>0.243</v>
      </c>
      <c r="B252" s="52">
        <f>$B$3*A252^2</f>
        <v/>
      </c>
      <c r="C252" s="52">
        <f>IF($B$4=3,IF(B252&lt;=0.5,1,(1-B252)/B252),IF($B$4=4,IF(B252&lt;=1/3,1,(-B252+SQRT(4*B252-3*B252^2))/(2*B252)),1))</f>
        <v/>
      </c>
      <c r="D252" s="51">
        <f>IF(A252&gt;$B$6+0.0000001,1E+30,$B$5*IF($B$4=3,1.5*(1-C252)^3,IF($B$4=4,2*(1-C252)^4+6*C252*(1-C252)^3,0)))</f>
        <v/>
      </c>
    </row>
    <row r="253">
      <c r="A253" s="51" t="n">
        <v>0.244</v>
      </c>
      <c r="B253" s="52">
        <f>$B$3*A253^2</f>
        <v/>
      </c>
      <c r="C253" s="52">
        <f>IF($B$4=3,IF(B253&lt;=0.5,1,(1-B253)/B253),IF($B$4=4,IF(B253&lt;=1/3,1,(-B253+SQRT(4*B253-3*B253^2))/(2*B253)),1))</f>
        <v/>
      </c>
      <c r="D253" s="51">
        <f>IF(A253&gt;$B$6+0.0000001,1E+30,$B$5*IF($B$4=3,1.5*(1-C253)^3,IF($B$4=4,2*(1-C253)^4+6*C253*(1-C253)^3,0)))</f>
        <v/>
      </c>
    </row>
    <row r="254">
      <c r="A254" s="51" t="n">
        <v>0.245</v>
      </c>
      <c r="B254" s="52">
        <f>$B$3*A254^2</f>
        <v/>
      </c>
      <c r="C254" s="52">
        <f>IF($B$4=3,IF(B254&lt;=0.5,1,(1-B254)/B254),IF($B$4=4,IF(B254&lt;=1/3,1,(-B254+SQRT(4*B254-3*B254^2))/(2*B254)),1))</f>
        <v/>
      </c>
      <c r="D254" s="51">
        <f>IF(A254&gt;$B$6+0.0000001,1E+30,$B$5*IF($B$4=3,1.5*(1-C254)^3,IF($B$4=4,2*(1-C254)^4+6*C254*(1-C254)^3,0)))</f>
        <v/>
      </c>
    </row>
    <row r="255">
      <c r="A255" s="51" t="n">
        <v>0.246</v>
      </c>
      <c r="B255" s="52">
        <f>$B$3*A255^2</f>
        <v/>
      </c>
      <c r="C255" s="52">
        <f>IF($B$4=3,IF(B255&lt;=0.5,1,(1-B255)/B255),IF($B$4=4,IF(B255&lt;=1/3,1,(-B255+SQRT(4*B255-3*B255^2))/(2*B255)),1))</f>
        <v/>
      </c>
      <c r="D255" s="51">
        <f>IF(A255&gt;$B$6+0.0000001,1E+30,$B$5*IF($B$4=3,1.5*(1-C255)^3,IF($B$4=4,2*(1-C255)^4+6*C255*(1-C255)^3,0)))</f>
        <v/>
      </c>
    </row>
    <row r="256">
      <c r="A256" s="51" t="n">
        <v>0.247</v>
      </c>
      <c r="B256" s="52">
        <f>$B$3*A256^2</f>
        <v/>
      </c>
      <c r="C256" s="52">
        <f>IF($B$4=3,IF(B256&lt;=0.5,1,(1-B256)/B256),IF($B$4=4,IF(B256&lt;=1/3,1,(-B256+SQRT(4*B256-3*B256^2))/(2*B256)),1))</f>
        <v/>
      </c>
      <c r="D256" s="51">
        <f>IF(A256&gt;$B$6+0.0000001,1E+30,$B$5*IF($B$4=3,1.5*(1-C256)^3,IF($B$4=4,2*(1-C256)^4+6*C256*(1-C256)^3,0)))</f>
        <v/>
      </c>
    </row>
    <row r="257">
      <c r="A257" s="51" t="n">
        <v>0.248</v>
      </c>
      <c r="B257" s="52">
        <f>$B$3*A257^2</f>
        <v/>
      </c>
      <c r="C257" s="52">
        <f>IF($B$4=3,IF(B257&lt;=0.5,1,(1-B257)/B257),IF($B$4=4,IF(B257&lt;=1/3,1,(-B257+SQRT(4*B257-3*B257^2))/(2*B257)),1))</f>
        <v/>
      </c>
      <c r="D257" s="51">
        <f>IF(A257&gt;$B$6+0.0000001,1E+30,$B$5*IF($B$4=3,1.5*(1-C257)^3,IF($B$4=4,2*(1-C257)^4+6*C257*(1-C257)^3,0)))</f>
        <v/>
      </c>
    </row>
    <row r="258">
      <c r="A258" s="51" t="n">
        <v>0.249</v>
      </c>
      <c r="B258" s="52">
        <f>$B$3*A258^2</f>
        <v/>
      </c>
      <c r="C258" s="52">
        <f>IF($B$4=3,IF(B258&lt;=0.5,1,(1-B258)/B258),IF($B$4=4,IF(B258&lt;=1/3,1,(-B258+SQRT(4*B258-3*B258^2))/(2*B258)),1))</f>
        <v/>
      </c>
      <c r="D258" s="51">
        <f>IF(A258&gt;$B$6+0.0000001,1E+30,$B$5*IF($B$4=3,1.5*(1-C258)^3,IF($B$4=4,2*(1-C258)^4+6*C258*(1-C258)^3,0)))</f>
        <v/>
      </c>
    </row>
    <row r="259">
      <c r="A259" s="51" t="n">
        <v>0.25</v>
      </c>
      <c r="B259" s="52">
        <f>$B$3*A259^2</f>
        <v/>
      </c>
      <c r="C259" s="52">
        <f>IF($B$4=3,IF(B259&lt;=0.5,1,(1-B259)/B259),IF($B$4=4,IF(B259&lt;=1/3,1,(-B259+SQRT(4*B259-3*B259^2))/(2*B259)),1))</f>
        <v/>
      </c>
      <c r="D259" s="51">
        <f>IF(A259&gt;$B$6+0.0000001,1E+30,$B$5*IF($B$4=3,1.5*(1-C259)^3,IF($B$4=4,2*(1-C259)^4+6*C259*(1-C259)^3,0)))</f>
        <v/>
      </c>
    </row>
    <row r="260">
      <c r="A260" s="51" t="n">
        <v>0.251</v>
      </c>
      <c r="B260" s="52">
        <f>$B$3*A260^2</f>
        <v/>
      </c>
      <c r="C260" s="52">
        <f>IF($B$4=3,IF(B260&lt;=0.5,1,(1-B260)/B260),IF($B$4=4,IF(B260&lt;=1/3,1,(-B260+SQRT(4*B260-3*B260^2))/(2*B260)),1))</f>
        <v/>
      </c>
      <c r="D260" s="51">
        <f>IF(A260&gt;$B$6+0.0000001,1E+30,$B$5*IF($B$4=3,1.5*(1-C260)^3,IF($B$4=4,2*(1-C260)^4+6*C260*(1-C260)^3,0)))</f>
        <v/>
      </c>
    </row>
    <row r="261">
      <c r="A261" s="51" t="n">
        <v>0.252</v>
      </c>
      <c r="B261" s="52">
        <f>$B$3*A261^2</f>
        <v/>
      </c>
      <c r="C261" s="52">
        <f>IF($B$4=3,IF(B261&lt;=0.5,1,(1-B261)/B261),IF($B$4=4,IF(B261&lt;=1/3,1,(-B261+SQRT(4*B261-3*B261^2))/(2*B261)),1))</f>
        <v/>
      </c>
      <c r="D261" s="51">
        <f>IF(A261&gt;$B$6+0.0000001,1E+30,$B$5*IF($B$4=3,1.5*(1-C261)^3,IF($B$4=4,2*(1-C261)^4+6*C261*(1-C261)^3,0)))</f>
        <v/>
      </c>
    </row>
    <row r="262">
      <c r="A262" s="51" t="n">
        <v>0.253</v>
      </c>
      <c r="B262" s="52">
        <f>$B$3*A262^2</f>
        <v/>
      </c>
      <c r="C262" s="52">
        <f>IF($B$4=3,IF(B262&lt;=0.5,1,(1-B262)/B262),IF($B$4=4,IF(B262&lt;=1/3,1,(-B262+SQRT(4*B262-3*B262^2))/(2*B262)),1))</f>
        <v/>
      </c>
      <c r="D262" s="51">
        <f>IF(A262&gt;$B$6+0.0000001,1E+30,$B$5*IF($B$4=3,1.5*(1-C262)^3,IF($B$4=4,2*(1-C262)^4+6*C262*(1-C262)^3,0)))</f>
        <v/>
      </c>
    </row>
    <row r="263">
      <c r="A263" s="51" t="n">
        <v>0.254</v>
      </c>
      <c r="B263" s="52">
        <f>$B$3*A263^2</f>
        <v/>
      </c>
      <c r="C263" s="52">
        <f>IF($B$4=3,IF(B263&lt;=0.5,1,(1-B263)/B263),IF($B$4=4,IF(B263&lt;=1/3,1,(-B263+SQRT(4*B263-3*B263^2))/(2*B263)),1))</f>
        <v/>
      </c>
      <c r="D263" s="51">
        <f>IF(A263&gt;$B$6+0.0000001,1E+30,$B$5*IF($B$4=3,1.5*(1-C263)^3,IF($B$4=4,2*(1-C263)^4+6*C263*(1-C263)^3,0)))</f>
        <v/>
      </c>
    </row>
    <row r="264">
      <c r="A264" s="51" t="n">
        <v>0.255</v>
      </c>
      <c r="B264" s="52">
        <f>$B$3*A264^2</f>
        <v/>
      </c>
      <c r="C264" s="52">
        <f>IF($B$4=3,IF(B264&lt;=0.5,1,(1-B264)/B264),IF($B$4=4,IF(B264&lt;=1/3,1,(-B264+SQRT(4*B264-3*B264^2))/(2*B264)),1))</f>
        <v/>
      </c>
      <c r="D264" s="51">
        <f>IF(A264&gt;$B$6+0.0000001,1E+30,$B$5*IF($B$4=3,1.5*(1-C264)^3,IF($B$4=4,2*(1-C264)^4+6*C264*(1-C264)^3,0)))</f>
        <v/>
      </c>
    </row>
    <row r="265">
      <c r="A265" s="51" t="n">
        <v>0.256</v>
      </c>
      <c r="B265" s="52">
        <f>$B$3*A265^2</f>
        <v/>
      </c>
      <c r="C265" s="52">
        <f>IF($B$4=3,IF(B265&lt;=0.5,1,(1-B265)/B265),IF($B$4=4,IF(B265&lt;=1/3,1,(-B265+SQRT(4*B265-3*B265^2))/(2*B265)),1))</f>
        <v/>
      </c>
      <c r="D265" s="51">
        <f>IF(A265&gt;$B$6+0.0000001,1E+30,$B$5*IF($B$4=3,1.5*(1-C265)^3,IF($B$4=4,2*(1-C265)^4+6*C265*(1-C265)^3,0)))</f>
        <v/>
      </c>
    </row>
    <row r="266">
      <c r="A266" s="51" t="n">
        <v>0.257</v>
      </c>
      <c r="B266" s="52">
        <f>$B$3*A266^2</f>
        <v/>
      </c>
      <c r="C266" s="52">
        <f>IF($B$4=3,IF(B266&lt;=0.5,1,(1-B266)/B266),IF($B$4=4,IF(B266&lt;=1/3,1,(-B266+SQRT(4*B266-3*B266^2))/(2*B266)),1))</f>
        <v/>
      </c>
      <c r="D266" s="51">
        <f>IF(A266&gt;$B$6+0.0000001,1E+30,$B$5*IF($B$4=3,1.5*(1-C266)^3,IF($B$4=4,2*(1-C266)^4+6*C266*(1-C266)^3,0)))</f>
        <v/>
      </c>
    </row>
    <row r="267">
      <c r="A267" s="51" t="n">
        <v>0.258</v>
      </c>
      <c r="B267" s="52">
        <f>$B$3*A267^2</f>
        <v/>
      </c>
      <c r="C267" s="52">
        <f>IF($B$4=3,IF(B267&lt;=0.5,1,(1-B267)/B267),IF($B$4=4,IF(B267&lt;=1/3,1,(-B267+SQRT(4*B267-3*B267^2))/(2*B267)),1))</f>
        <v/>
      </c>
      <c r="D267" s="51">
        <f>IF(A267&gt;$B$6+0.0000001,1E+30,$B$5*IF($B$4=3,1.5*(1-C267)^3,IF($B$4=4,2*(1-C267)^4+6*C267*(1-C267)^3,0)))</f>
        <v/>
      </c>
    </row>
    <row r="268">
      <c r="A268" s="51" t="n">
        <v>0.259</v>
      </c>
      <c r="B268" s="52">
        <f>$B$3*A268^2</f>
        <v/>
      </c>
      <c r="C268" s="52">
        <f>IF($B$4=3,IF(B268&lt;=0.5,1,(1-B268)/B268),IF($B$4=4,IF(B268&lt;=1/3,1,(-B268+SQRT(4*B268-3*B268^2))/(2*B268)),1))</f>
        <v/>
      </c>
      <c r="D268" s="51">
        <f>IF(A268&gt;$B$6+0.0000001,1E+30,$B$5*IF($B$4=3,1.5*(1-C268)^3,IF($B$4=4,2*(1-C268)^4+6*C268*(1-C268)^3,0)))</f>
        <v/>
      </c>
    </row>
    <row r="269">
      <c r="A269" s="51" t="n">
        <v>0.26</v>
      </c>
      <c r="B269" s="52">
        <f>$B$3*A269^2</f>
        <v/>
      </c>
      <c r="C269" s="52">
        <f>IF($B$4=3,IF(B269&lt;=0.5,1,(1-B269)/B269),IF($B$4=4,IF(B269&lt;=1/3,1,(-B269+SQRT(4*B269-3*B269^2))/(2*B269)),1))</f>
        <v/>
      </c>
      <c r="D269" s="51">
        <f>IF(A269&gt;$B$6+0.0000001,1E+30,$B$5*IF($B$4=3,1.5*(1-C269)^3,IF($B$4=4,2*(1-C269)^4+6*C269*(1-C269)^3,0)))</f>
        <v/>
      </c>
    </row>
    <row r="270">
      <c r="A270" s="51" t="n">
        <v>0.261</v>
      </c>
      <c r="B270" s="52">
        <f>$B$3*A270^2</f>
        <v/>
      </c>
      <c r="C270" s="52">
        <f>IF($B$4=3,IF(B270&lt;=0.5,1,(1-B270)/B270),IF($B$4=4,IF(B270&lt;=1/3,1,(-B270+SQRT(4*B270-3*B270^2))/(2*B270)),1))</f>
        <v/>
      </c>
      <c r="D270" s="51">
        <f>IF(A270&gt;$B$6+0.0000001,1E+30,$B$5*IF($B$4=3,1.5*(1-C270)^3,IF($B$4=4,2*(1-C270)^4+6*C270*(1-C270)^3,0)))</f>
        <v/>
      </c>
    </row>
    <row r="271">
      <c r="A271" s="51" t="n">
        <v>0.262</v>
      </c>
      <c r="B271" s="52">
        <f>$B$3*A271^2</f>
        <v/>
      </c>
      <c r="C271" s="52">
        <f>IF($B$4=3,IF(B271&lt;=0.5,1,(1-B271)/B271),IF($B$4=4,IF(B271&lt;=1/3,1,(-B271+SQRT(4*B271-3*B271^2))/(2*B271)),1))</f>
        <v/>
      </c>
      <c r="D271" s="51">
        <f>IF(A271&gt;$B$6+0.0000001,1E+30,$B$5*IF($B$4=3,1.5*(1-C271)^3,IF($B$4=4,2*(1-C271)^4+6*C271*(1-C271)^3,0)))</f>
        <v/>
      </c>
    </row>
    <row r="272">
      <c r="A272" s="51" t="n">
        <v>0.263</v>
      </c>
      <c r="B272" s="52">
        <f>$B$3*A272^2</f>
        <v/>
      </c>
      <c r="C272" s="52">
        <f>IF($B$4=3,IF(B272&lt;=0.5,1,(1-B272)/B272),IF($B$4=4,IF(B272&lt;=1/3,1,(-B272+SQRT(4*B272-3*B272^2))/(2*B272)),1))</f>
        <v/>
      </c>
      <c r="D272" s="51">
        <f>IF(A272&gt;$B$6+0.0000001,1E+30,$B$5*IF($B$4=3,1.5*(1-C272)^3,IF($B$4=4,2*(1-C272)^4+6*C272*(1-C272)^3,0)))</f>
        <v/>
      </c>
    </row>
    <row r="273">
      <c r="A273" s="51" t="n">
        <v>0.264</v>
      </c>
      <c r="B273" s="52">
        <f>$B$3*A273^2</f>
        <v/>
      </c>
      <c r="C273" s="52">
        <f>IF($B$4=3,IF(B273&lt;=0.5,1,(1-B273)/B273),IF($B$4=4,IF(B273&lt;=1/3,1,(-B273+SQRT(4*B273-3*B273^2))/(2*B273)),1))</f>
        <v/>
      </c>
      <c r="D273" s="51">
        <f>IF(A273&gt;$B$6+0.0000001,1E+30,$B$5*IF($B$4=3,1.5*(1-C273)^3,IF($B$4=4,2*(1-C273)^4+6*C273*(1-C273)^3,0)))</f>
        <v/>
      </c>
    </row>
    <row r="274">
      <c r="A274" s="51" t="n">
        <v>0.265</v>
      </c>
      <c r="B274" s="52">
        <f>$B$3*A274^2</f>
        <v/>
      </c>
      <c r="C274" s="52">
        <f>IF($B$4=3,IF(B274&lt;=0.5,1,(1-B274)/B274),IF($B$4=4,IF(B274&lt;=1/3,1,(-B274+SQRT(4*B274-3*B274^2))/(2*B274)),1))</f>
        <v/>
      </c>
      <c r="D274" s="51">
        <f>IF(A274&gt;$B$6+0.0000001,1E+30,$B$5*IF($B$4=3,1.5*(1-C274)^3,IF($B$4=4,2*(1-C274)^4+6*C274*(1-C274)^3,0)))</f>
        <v/>
      </c>
    </row>
    <row r="275">
      <c r="A275" s="51" t="n">
        <v>0.266</v>
      </c>
      <c r="B275" s="52">
        <f>$B$3*A275^2</f>
        <v/>
      </c>
      <c r="C275" s="52">
        <f>IF($B$4=3,IF(B275&lt;=0.5,1,(1-B275)/B275),IF($B$4=4,IF(B275&lt;=1/3,1,(-B275+SQRT(4*B275-3*B275^2))/(2*B275)),1))</f>
        <v/>
      </c>
      <c r="D275" s="51">
        <f>IF(A275&gt;$B$6+0.0000001,1E+30,$B$5*IF($B$4=3,1.5*(1-C275)^3,IF($B$4=4,2*(1-C275)^4+6*C275*(1-C275)^3,0)))</f>
        <v/>
      </c>
    </row>
    <row r="276">
      <c r="A276" s="51" t="n">
        <v>0.267</v>
      </c>
      <c r="B276" s="52">
        <f>$B$3*A276^2</f>
        <v/>
      </c>
      <c r="C276" s="52">
        <f>IF($B$4=3,IF(B276&lt;=0.5,1,(1-B276)/B276),IF($B$4=4,IF(B276&lt;=1/3,1,(-B276+SQRT(4*B276-3*B276^2))/(2*B276)),1))</f>
        <v/>
      </c>
      <c r="D276" s="51">
        <f>IF(A276&gt;$B$6+0.0000001,1E+30,$B$5*IF($B$4=3,1.5*(1-C276)^3,IF($B$4=4,2*(1-C276)^4+6*C276*(1-C276)^3,0)))</f>
        <v/>
      </c>
    </row>
    <row r="277">
      <c r="A277" s="51" t="n">
        <v>0.268</v>
      </c>
      <c r="B277" s="52">
        <f>$B$3*A277^2</f>
        <v/>
      </c>
      <c r="C277" s="52">
        <f>IF($B$4=3,IF(B277&lt;=0.5,1,(1-B277)/B277),IF($B$4=4,IF(B277&lt;=1/3,1,(-B277+SQRT(4*B277-3*B277^2))/(2*B277)),1))</f>
        <v/>
      </c>
      <c r="D277" s="51">
        <f>IF(A277&gt;$B$6+0.0000001,1E+30,$B$5*IF($B$4=3,1.5*(1-C277)^3,IF($B$4=4,2*(1-C277)^4+6*C277*(1-C277)^3,0)))</f>
        <v/>
      </c>
    </row>
    <row r="278">
      <c r="A278" s="51" t="n">
        <v>0.269</v>
      </c>
      <c r="B278" s="52">
        <f>$B$3*A278^2</f>
        <v/>
      </c>
      <c r="C278" s="52">
        <f>IF($B$4=3,IF(B278&lt;=0.5,1,(1-B278)/B278),IF($B$4=4,IF(B278&lt;=1/3,1,(-B278+SQRT(4*B278-3*B278^2))/(2*B278)),1))</f>
        <v/>
      </c>
      <c r="D278" s="51">
        <f>IF(A278&gt;$B$6+0.0000001,1E+30,$B$5*IF($B$4=3,1.5*(1-C278)^3,IF($B$4=4,2*(1-C278)^4+6*C278*(1-C278)^3,0)))</f>
        <v/>
      </c>
    </row>
    <row r="279">
      <c r="A279" s="51" t="n">
        <v>0.27</v>
      </c>
      <c r="B279" s="52">
        <f>$B$3*A279^2</f>
        <v/>
      </c>
      <c r="C279" s="52">
        <f>IF($B$4=3,IF(B279&lt;=0.5,1,(1-B279)/B279),IF($B$4=4,IF(B279&lt;=1/3,1,(-B279+SQRT(4*B279-3*B279^2))/(2*B279)),1))</f>
        <v/>
      </c>
      <c r="D279" s="51">
        <f>IF(A279&gt;$B$6+0.0000001,1E+30,$B$5*IF($B$4=3,1.5*(1-C279)^3,IF($B$4=4,2*(1-C279)^4+6*C279*(1-C279)^3,0)))</f>
        <v/>
      </c>
    </row>
    <row r="280">
      <c r="A280" s="51" t="n">
        <v>0.271</v>
      </c>
      <c r="B280" s="52">
        <f>$B$3*A280^2</f>
        <v/>
      </c>
      <c r="C280" s="52">
        <f>IF($B$4=3,IF(B280&lt;=0.5,1,(1-B280)/B280),IF($B$4=4,IF(B280&lt;=1/3,1,(-B280+SQRT(4*B280-3*B280^2))/(2*B280)),1))</f>
        <v/>
      </c>
      <c r="D280" s="51">
        <f>IF(A280&gt;$B$6+0.0000001,1E+30,$B$5*IF($B$4=3,1.5*(1-C280)^3,IF($B$4=4,2*(1-C280)^4+6*C280*(1-C280)^3,0)))</f>
        <v/>
      </c>
    </row>
    <row r="281">
      <c r="A281" s="51" t="n">
        <v>0.272</v>
      </c>
      <c r="B281" s="52">
        <f>$B$3*A281^2</f>
        <v/>
      </c>
      <c r="C281" s="52">
        <f>IF($B$4=3,IF(B281&lt;=0.5,1,(1-B281)/B281),IF($B$4=4,IF(B281&lt;=1/3,1,(-B281+SQRT(4*B281-3*B281^2))/(2*B281)),1))</f>
        <v/>
      </c>
      <c r="D281" s="51">
        <f>IF(A281&gt;$B$6+0.0000001,1E+30,$B$5*IF($B$4=3,1.5*(1-C281)^3,IF($B$4=4,2*(1-C281)^4+6*C281*(1-C281)^3,0)))</f>
        <v/>
      </c>
    </row>
    <row r="282">
      <c r="A282" s="51" t="n">
        <v>0.273</v>
      </c>
      <c r="B282" s="52">
        <f>$B$3*A282^2</f>
        <v/>
      </c>
      <c r="C282" s="52">
        <f>IF($B$4=3,IF(B282&lt;=0.5,1,(1-B282)/B282),IF($B$4=4,IF(B282&lt;=1/3,1,(-B282+SQRT(4*B282-3*B282^2))/(2*B282)),1))</f>
        <v/>
      </c>
      <c r="D282" s="51">
        <f>IF(A282&gt;$B$6+0.0000001,1E+30,$B$5*IF($B$4=3,1.5*(1-C282)^3,IF($B$4=4,2*(1-C282)^4+6*C282*(1-C282)^3,0)))</f>
        <v/>
      </c>
    </row>
    <row r="283">
      <c r="A283" s="51" t="n">
        <v>0.274</v>
      </c>
      <c r="B283" s="52">
        <f>$B$3*A283^2</f>
        <v/>
      </c>
      <c r="C283" s="52">
        <f>IF($B$4=3,IF(B283&lt;=0.5,1,(1-B283)/B283),IF($B$4=4,IF(B283&lt;=1/3,1,(-B283+SQRT(4*B283-3*B283^2))/(2*B283)),1))</f>
        <v/>
      </c>
      <c r="D283" s="51">
        <f>IF(A283&gt;$B$6+0.0000001,1E+30,$B$5*IF($B$4=3,1.5*(1-C283)^3,IF($B$4=4,2*(1-C283)^4+6*C283*(1-C283)^3,0)))</f>
        <v/>
      </c>
    </row>
    <row r="284">
      <c r="A284" s="51" t="n">
        <v>0.275</v>
      </c>
      <c r="B284" s="52">
        <f>$B$3*A284^2</f>
        <v/>
      </c>
      <c r="C284" s="52">
        <f>IF($B$4=3,IF(B284&lt;=0.5,1,(1-B284)/B284),IF($B$4=4,IF(B284&lt;=1/3,1,(-B284+SQRT(4*B284-3*B284^2))/(2*B284)),1))</f>
        <v/>
      </c>
      <c r="D284" s="51">
        <f>IF(A284&gt;$B$6+0.0000001,1E+30,$B$5*IF($B$4=3,1.5*(1-C284)^3,IF($B$4=4,2*(1-C284)^4+6*C284*(1-C284)^3,0)))</f>
        <v/>
      </c>
    </row>
    <row r="285">
      <c r="A285" s="51" t="n">
        <v>0.276</v>
      </c>
      <c r="B285" s="52">
        <f>$B$3*A285^2</f>
        <v/>
      </c>
      <c r="C285" s="52">
        <f>IF($B$4=3,IF(B285&lt;=0.5,1,(1-B285)/B285),IF($B$4=4,IF(B285&lt;=1/3,1,(-B285+SQRT(4*B285-3*B285^2))/(2*B285)),1))</f>
        <v/>
      </c>
      <c r="D285" s="51">
        <f>IF(A285&gt;$B$6+0.0000001,1E+30,$B$5*IF($B$4=3,1.5*(1-C285)^3,IF($B$4=4,2*(1-C285)^4+6*C285*(1-C285)^3,0)))</f>
        <v/>
      </c>
    </row>
    <row r="286">
      <c r="A286" s="51" t="n">
        <v>0.277</v>
      </c>
      <c r="B286" s="52">
        <f>$B$3*A286^2</f>
        <v/>
      </c>
      <c r="C286" s="52">
        <f>IF($B$4=3,IF(B286&lt;=0.5,1,(1-B286)/B286),IF($B$4=4,IF(B286&lt;=1/3,1,(-B286+SQRT(4*B286-3*B286^2))/(2*B286)),1))</f>
        <v/>
      </c>
      <c r="D286" s="51">
        <f>IF(A286&gt;$B$6+0.0000001,1E+30,$B$5*IF($B$4=3,1.5*(1-C286)^3,IF($B$4=4,2*(1-C286)^4+6*C286*(1-C286)^3,0)))</f>
        <v/>
      </c>
    </row>
    <row r="287">
      <c r="A287" s="51" t="n">
        <v>0.278</v>
      </c>
      <c r="B287" s="52">
        <f>$B$3*A287^2</f>
        <v/>
      </c>
      <c r="C287" s="52">
        <f>IF($B$4=3,IF(B287&lt;=0.5,1,(1-B287)/B287),IF($B$4=4,IF(B287&lt;=1/3,1,(-B287+SQRT(4*B287-3*B287^2))/(2*B287)),1))</f>
        <v/>
      </c>
      <c r="D287" s="51">
        <f>IF(A287&gt;$B$6+0.0000001,1E+30,$B$5*IF($B$4=3,1.5*(1-C287)^3,IF($B$4=4,2*(1-C287)^4+6*C287*(1-C287)^3,0)))</f>
        <v/>
      </c>
    </row>
    <row r="288">
      <c r="A288" s="51" t="n">
        <v>0.279</v>
      </c>
      <c r="B288" s="52">
        <f>$B$3*A288^2</f>
        <v/>
      </c>
      <c r="C288" s="52">
        <f>IF($B$4=3,IF(B288&lt;=0.5,1,(1-B288)/B288),IF($B$4=4,IF(B288&lt;=1/3,1,(-B288+SQRT(4*B288-3*B288^2))/(2*B288)),1))</f>
        <v/>
      </c>
      <c r="D288" s="51">
        <f>IF(A288&gt;$B$6+0.0000001,1E+30,$B$5*IF($B$4=3,1.5*(1-C288)^3,IF($B$4=4,2*(1-C288)^4+6*C288*(1-C288)^3,0)))</f>
        <v/>
      </c>
    </row>
    <row r="289">
      <c r="A289" s="51" t="n">
        <v>0.28</v>
      </c>
      <c r="B289" s="52">
        <f>$B$3*A289^2</f>
        <v/>
      </c>
      <c r="C289" s="52">
        <f>IF($B$4=3,IF(B289&lt;=0.5,1,(1-B289)/B289),IF($B$4=4,IF(B289&lt;=1/3,1,(-B289+SQRT(4*B289-3*B289^2))/(2*B289)),1))</f>
        <v/>
      </c>
      <c r="D289" s="51">
        <f>IF(A289&gt;$B$6+0.0000001,1E+30,$B$5*IF($B$4=3,1.5*(1-C289)^3,IF($B$4=4,2*(1-C289)^4+6*C289*(1-C289)^3,0)))</f>
        <v/>
      </c>
    </row>
    <row r="290">
      <c r="A290" s="51" t="n">
        <v>0.281</v>
      </c>
      <c r="B290" s="52">
        <f>$B$3*A290^2</f>
        <v/>
      </c>
      <c r="C290" s="52">
        <f>IF($B$4=3,IF(B290&lt;=0.5,1,(1-B290)/B290),IF($B$4=4,IF(B290&lt;=1/3,1,(-B290+SQRT(4*B290-3*B290^2))/(2*B290)),1))</f>
        <v/>
      </c>
      <c r="D290" s="51">
        <f>IF(A290&gt;$B$6+0.0000001,1E+30,$B$5*IF($B$4=3,1.5*(1-C290)^3,IF($B$4=4,2*(1-C290)^4+6*C290*(1-C290)^3,0)))</f>
        <v/>
      </c>
    </row>
    <row r="291">
      <c r="A291" s="51" t="n">
        <v>0.282</v>
      </c>
      <c r="B291" s="52">
        <f>$B$3*A291^2</f>
        <v/>
      </c>
      <c r="C291" s="52">
        <f>IF($B$4=3,IF(B291&lt;=0.5,1,(1-B291)/B291),IF($B$4=4,IF(B291&lt;=1/3,1,(-B291+SQRT(4*B291-3*B291^2))/(2*B291)),1))</f>
        <v/>
      </c>
      <c r="D291" s="51">
        <f>IF(A291&gt;$B$6+0.0000001,1E+30,$B$5*IF($B$4=3,1.5*(1-C291)^3,IF($B$4=4,2*(1-C291)^4+6*C291*(1-C291)^3,0)))</f>
        <v/>
      </c>
    </row>
    <row r="292">
      <c r="A292" s="51" t="n">
        <v>0.283</v>
      </c>
      <c r="B292" s="52">
        <f>$B$3*A292^2</f>
        <v/>
      </c>
      <c r="C292" s="52">
        <f>IF($B$4=3,IF(B292&lt;=0.5,1,(1-B292)/B292),IF($B$4=4,IF(B292&lt;=1/3,1,(-B292+SQRT(4*B292-3*B292^2))/(2*B292)),1))</f>
        <v/>
      </c>
      <c r="D292" s="51">
        <f>IF(A292&gt;$B$6+0.0000001,1E+30,$B$5*IF($B$4=3,1.5*(1-C292)^3,IF($B$4=4,2*(1-C292)^4+6*C292*(1-C292)^3,0)))</f>
        <v/>
      </c>
    </row>
    <row r="293">
      <c r="A293" s="51" t="n">
        <v>0.284</v>
      </c>
      <c r="B293" s="52">
        <f>$B$3*A293^2</f>
        <v/>
      </c>
      <c r="C293" s="52">
        <f>IF($B$4=3,IF(B293&lt;=0.5,1,(1-B293)/B293),IF($B$4=4,IF(B293&lt;=1/3,1,(-B293+SQRT(4*B293-3*B293^2))/(2*B293)),1))</f>
        <v/>
      </c>
      <c r="D293" s="51">
        <f>IF(A293&gt;$B$6+0.0000001,1E+30,$B$5*IF($B$4=3,1.5*(1-C293)^3,IF($B$4=4,2*(1-C293)^4+6*C293*(1-C293)^3,0)))</f>
        <v/>
      </c>
    </row>
    <row r="294">
      <c r="A294" s="51" t="n">
        <v>0.285</v>
      </c>
      <c r="B294" s="52">
        <f>$B$3*A294^2</f>
        <v/>
      </c>
      <c r="C294" s="52">
        <f>IF($B$4=3,IF(B294&lt;=0.5,1,(1-B294)/B294),IF($B$4=4,IF(B294&lt;=1/3,1,(-B294+SQRT(4*B294-3*B294^2))/(2*B294)),1))</f>
        <v/>
      </c>
      <c r="D294" s="51">
        <f>IF(A294&gt;$B$6+0.0000001,1E+30,$B$5*IF($B$4=3,1.5*(1-C294)^3,IF($B$4=4,2*(1-C294)^4+6*C294*(1-C294)^3,0)))</f>
        <v/>
      </c>
    </row>
    <row r="295">
      <c r="A295" s="51" t="n">
        <v>0.286</v>
      </c>
      <c r="B295" s="52">
        <f>$B$3*A295^2</f>
        <v/>
      </c>
      <c r="C295" s="52">
        <f>IF($B$4=3,IF(B295&lt;=0.5,1,(1-B295)/B295),IF($B$4=4,IF(B295&lt;=1/3,1,(-B295+SQRT(4*B295-3*B295^2))/(2*B295)),1))</f>
        <v/>
      </c>
      <c r="D295" s="51">
        <f>IF(A295&gt;$B$6+0.0000001,1E+30,$B$5*IF($B$4=3,1.5*(1-C295)^3,IF($B$4=4,2*(1-C295)^4+6*C295*(1-C295)^3,0)))</f>
        <v/>
      </c>
    </row>
    <row r="296">
      <c r="A296" s="51" t="n">
        <v>0.287</v>
      </c>
      <c r="B296" s="52">
        <f>$B$3*A296^2</f>
        <v/>
      </c>
      <c r="C296" s="52">
        <f>IF($B$4=3,IF(B296&lt;=0.5,1,(1-B296)/B296),IF($B$4=4,IF(B296&lt;=1/3,1,(-B296+SQRT(4*B296-3*B296^2))/(2*B296)),1))</f>
        <v/>
      </c>
      <c r="D296" s="51">
        <f>IF(A296&gt;$B$6+0.0000001,1E+30,$B$5*IF($B$4=3,1.5*(1-C296)^3,IF($B$4=4,2*(1-C296)^4+6*C296*(1-C296)^3,0)))</f>
        <v/>
      </c>
    </row>
    <row r="297">
      <c r="A297" s="51" t="n">
        <v>0.288</v>
      </c>
      <c r="B297" s="52">
        <f>$B$3*A297^2</f>
        <v/>
      </c>
      <c r="C297" s="52">
        <f>IF($B$4=3,IF(B297&lt;=0.5,1,(1-B297)/B297),IF($B$4=4,IF(B297&lt;=1/3,1,(-B297+SQRT(4*B297-3*B297^2))/(2*B297)),1))</f>
        <v/>
      </c>
      <c r="D297" s="51">
        <f>IF(A297&gt;$B$6+0.0000001,1E+30,$B$5*IF($B$4=3,1.5*(1-C297)^3,IF($B$4=4,2*(1-C297)^4+6*C297*(1-C297)^3,0)))</f>
        <v/>
      </c>
    </row>
    <row r="298">
      <c r="A298" s="51" t="n">
        <v>0.289</v>
      </c>
      <c r="B298" s="52">
        <f>$B$3*A298^2</f>
        <v/>
      </c>
      <c r="C298" s="52">
        <f>IF($B$4=3,IF(B298&lt;=0.5,1,(1-B298)/B298),IF($B$4=4,IF(B298&lt;=1/3,1,(-B298+SQRT(4*B298-3*B298^2))/(2*B298)),1))</f>
        <v/>
      </c>
      <c r="D298" s="51">
        <f>IF(A298&gt;$B$6+0.0000001,1E+30,$B$5*IF($B$4=3,1.5*(1-C298)^3,IF($B$4=4,2*(1-C298)^4+6*C298*(1-C298)^3,0)))</f>
        <v/>
      </c>
    </row>
    <row r="299">
      <c r="A299" s="51" t="n">
        <v>0.29</v>
      </c>
      <c r="B299" s="52">
        <f>$B$3*A299^2</f>
        <v/>
      </c>
      <c r="C299" s="52">
        <f>IF($B$4=3,IF(B299&lt;=0.5,1,(1-B299)/B299),IF($B$4=4,IF(B299&lt;=1/3,1,(-B299+SQRT(4*B299-3*B299^2))/(2*B299)),1))</f>
        <v/>
      </c>
      <c r="D299" s="51">
        <f>IF(A299&gt;$B$6+0.0000001,1E+30,$B$5*IF($B$4=3,1.5*(1-C299)^3,IF($B$4=4,2*(1-C299)^4+6*C299*(1-C299)^3,0)))</f>
        <v/>
      </c>
    </row>
    <row r="300">
      <c r="A300" s="51" t="n">
        <v>0.291</v>
      </c>
      <c r="B300" s="52">
        <f>$B$3*A300^2</f>
        <v/>
      </c>
      <c r="C300" s="52">
        <f>IF($B$4=3,IF(B300&lt;=0.5,1,(1-B300)/B300),IF($B$4=4,IF(B300&lt;=1/3,1,(-B300+SQRT(4*B300-3*B300^2))/(2*B300)),1))</f>
        <v/>
      </c>
      <c r="D300" s="51">
        <f>IF(A300&gt;$B$6+0.0000001,1E+30,$B$5*IF($B$4=3,1.5*(1-C300)^3,IF($B$4=4,2*(1-C300)^4+6*C300*(1-C300)^3,0)))</f>
        <v/>
      </c>
    </row>
    <row r="301">
      <c r="A301" s="51" t="n">
        <v>0.292</v>
      </c>
      <c r="B301" s="52">
        <f>$B$3*A301^2</f>
        <v/>
      </c>
      <c r="C301" s="52">
        <f>IF($B$4=3,IF(B301&lt;=0.5,1,(1-B301)/B301),IF($B$4=4,IF(B301&lt;=1/3,1,(-B301+SQRT(4*B301-3*B301^2))/(2*B301)),1))</f>
        <v/>
      </c>
      <c r="D301" s="51">
        <f>IF(A301&gt;$B$6+0.0000001,1E+30,$B$5*IF($B$4=3,1.5*(1-C301)^3,IF($B$4=4,2*(1-C301)^4+6*C301*(1-C301)^3,0)))</f>
        <v/>
      </c>
    </row>
    <row r="302">
      <c r="A302" s="51" t="n">
        <v>0.293</v>
      </c>
      <c r="B302" s="52">
        <f>$B$3*A302^2</f>
        <v/>
      </c>
      <c r="C302" s="52">
        <f>IF($B$4=3,IF(B302&lt;=0.5,1,(1-B302)/B302),IF($B$4=4,IF(B302&lt;=1/3,1,(-B302+SQRT(4*B302-3*B302^2))/(2*B302)),1))</f>
        <v/>
      </c>
      <c r="D302" s="51">
        <f>IF(A302&gt;$B$6+0.0000001,1E+30,$B$5*IF($B$4=3,1.5*(1-C302)^3,IF($B$4=4,2*(1-C302)^4+6*C302*(1-C302)^3,0)))</f>
        <v/>
      </c>
    </row>
    <row r="303">
      <c r="A303" s="51" t="n">
        <v>0.294</v>
      </c>
      <c r="B303" s="52">
        <f>$B$3*A303^2</f>
        <v/>
      </c>
      <c r="C303" s="52">
        <f>IF($B$4=3,IF(B303&lt;=0.5,1,(1-B303)/B303),IF($B$4=4,IF(B303&lt;=1/3,1,(-B303+SQRT(4*B303-3*B303^2))/(2*B303)),1))</f>
        <v/>
      </c>
      <c r="D303" s="51">
        <f>IF(A303&gt;$B$6+0.0000001,1E+30,$B$5*IF($B$4=3,1.5*(1-C303)^3,IF($B$4=4,2*(1-C303)^4+6*C303*(1-C303)^3,0)))</f>
        <v/>
      </c>
    </row>
    <row r="304">
      <c r="A304" s="51" t="n">
        <v>0.295</v>
      </c>
      <c r="B304" s="52">
        <f>$B$3*A304^2</f>
        <v/>
      </c>
      <c r="C304" s="52">
        <f>IF($B$4=3,IF(B304&lt;=0.5,1,(1-B304)/B304),IF($B$4=4,IF(B304&lt;=1/3,1,(-B304+SQRT(4*B304-3*B304^2))/(2*B304)),1))</f>
        <v/>
      </c>
      <c r="D304" s="51">
        <f>IF(A304&gt;$B$6+0.0000001,1E+30,$B$5*IF($B$4=3,1.5*(1-C304)^3,IF($B$4=4,2*(1-C304)^4+6*C304*(1-C304)^3,0)))</f>
        <v/>
      </c>
    </row>
    <row r="305">
      <c r="A305" s="51" t="n">
        <v>0.296</v>
      </c>
      <c r="B305" s="52">
        <f>$B$3*A305^2</f>
        <v/>
      </c>
      <c r="C305" s="52">
        <f>IF($B$4=3,IF(B305&lt;=0.5,1,(1-B305)/B305),IF($B$4=4,IF(B305&lt;=1/3,1,(-B305+SQRT(4*B305-3*B305^2))/(2*B305)),1))</f>
        <v/>
      </c>
      <c r="D305" s="51">
        <f>IF(A305&gt;$B$6+0.0000001,1E+30,$B$5*IF($B$4=3,1.5*(1-C305)^3,IF($B$4=4,2*(1-C305)^4+6*C305*(1-C305)^3,0)))</f>
        <v/>
      </c>
    </row>
    <row r="306">
      <c r="A306" s="51" t="n">
        <v>0.297</v>
      </c>
      <c r="B306" s="52">
        <f>$B$3*A306^2</f>
        <v/>
      </c>
      <c r="C306" s="52">
        <f>IF($B$4=3,IF(B306&lt;=0.5,1,(1-B306)/B306),IF($B$4=4,IF(B306&lt;=1/3,1,(-B306+SQRT(4*B306-3*B306^2))/(2*B306)),1))</f>
        <v/>
      </c>
      <c r="D306" s="51">
        <f>IF(A306&gt;$B$6+0.0000001,1E+30,$B$5*IF($B$4=3,1.5*(1-C306)^3,IF($B$4=4,2*(1-C306)^4+6*C306*(1-C306)^3,0)))</f>
        <v/>
      </c>
    </row>
    <row r="307">
      <c r="A307" s="51" t="n">
        <v>0.298</v>
      </c>
      <c r="B307" s="52">
        <f>$B$3*A307^2</f>
        <v/>
      </c>
      <c r="C307" s="52">
        <f>IF($B$4=3,IF(B307&lt;=0.5,1,(1-B307)/B307),IF($B$4=4,IF(B307&lt;=1/3,1,(-B307+SQRT(4*B307-3*B307^2))/(2*B307)),1))</f>
        <v/>
      </c>
      <c r="D307" s="51">
        <f>IF(A307&gt;$B$6+0.0000001,1E+30,$B$5*IF($B$4=3,1.5*(1-C307)^3,IF($B$4=4,2*(1-C307)^4+6*C307*(1-C307)^3,0)))</f>
        <v/>
      </c>
    </row>
    <row r="308">
      <c r="A308" s="51" t="n">
        <v>0.299</v>
      </c>
      <c r="B308" s="52">
        <f>$B$3*A308^2</f>
        <v/>
      </c>
      <c r="C308" s="52">
        <f>IF($B$4=3,IF(B308&lt;=0.5,1,(1-B308)/B308),IF($B$4=4,IF(B308&lt;=1/3,1,(-B308+SQRT(4*B308-3*B308^2))/(2*B308)),1))</f>
        <v/>
      </c>
      <c r="D308" s="51">
        <f>IF(A308&gt;$B$6+0.0000001,1E+30,$B$5*IF($B$4=3,1.5*(1-C308)^3,IF($B$4=4,2*(1-C308)^4+6*C308*(1-C308)^3,0)))</f>
        <v/>
      </c>
    </row>
    <row r="309">
      <c r="A309" s="51" t="n">
        <v>0.3</v>
      </c>
      <c r="B309" s="52">
        <f>$B$3*A309^2</f>
        <v/>
      </c>
      <c r="C309" s="52">
        <f>IF($B$4=3,IF(B309&lt;=0.5,1,(1-B309)/B309),IF($B$4=4,IF(B309&lt;=1/3,1,(-B309+SQRT(4*B309-3*B309^2))/(2*B309)),1))</f>
        <v/>
      </c>
      <c r="D309" s="51">
        <f>IF(A309&gt;$B$6+0.0000001,1E+30,$B$5*IF($B$4=3,1.5*(1-C309)^3,IF($B$4=4,2*(1-C309)^4+6*C309*(1-C309)^3,0)))</f>
        <v/>
      </c>
    </row>
    <row r="310">
      <c r="A310" s="51" t="n">
        <v>0.301</v>
      </c>
      <c r="B310" s="52">
        <f>$B$3*A310^2</f>
        <v/>
      </c>
      <c r="C310" s="52">
        <f>IF($B$4=3,IF(B310&lt;=0.5,1,(1-B310)/B310),IF($B$4=4,IF(B310&lt;=1/3,1,(-B310+SQRT(4*B310-3*B310^2))/(2*B310)),1))</f>
        <v/>
      </c>
      <c r="D310" s="51">
        <f>IF(A310&gt;$B$6+0.0000001,1E+30,$B$5*IF($B$4=3,1.5*(1-C310)^3,IF($B$4=4,2*(1-C310)^4+6*C310*(1-C310)^3,0)))</f>
        <v/>
      </c>
    </row>
    <row r="311">
      <c r="A311" s="51" t="n">
        <v>0.302</v>
      </c>
      <c r="B311" s="52">
        <f>$B$3*A311^2</f>
        <v/>
      </c>
      <c r="C311" s="52">
        <f>IF($B$4=3,IF(B311&lt;=0.5,1,(1-B311)/B311),IF($B$4=4,IF(B311&lt;=1/3,1,(-B311+SQRT(4*B311-3*B311^2))/(2*B311)),1))</f>
        <v/>
      </c>
      <c r="D311" s="51">
        <f>IF(A311&gt;$B$6+0.0000001,1E+30,$B$5*IF($B$4=3,1.5*(1-C311)^3,IF($B$4=4,2*(1-C311)^4+6*C311*(1-C311)^3,0)))</f>
        <v/>
      </c>
    </row>
    <row r="312">
      <c r="A312" s="51" t="n">
        <v>0.303</v>
      </c>
      <c r="B312" s="52">
        <f>$B$3*A312^2</f>
        <v/>
      </c>
      <c r="C312" s="52">
        <f>IF($B$4=3,IF(B312&lt;=0.5,1,(1-B312)/B312),IF($B$4=4,IF(B312&lt;=1/3,1,(-B312+SQRT(4*B312-3*B312^2))/(2*B312)),1))</f>
        <v/>
      </c>
      <c r="D312" s="51">
        <f>IF(A312&gt;$B$6+0.0000001,1E+30,$B$5*IF($B$4=3,1.5*(1-C312)^3,IF($B$4=4,2*(1-C312)^4+6*C312*(1-C312)^3,0)))</f>
        <v/>
      </c>
    </row>
    <row r="313">
      <c r="A313" s="51" t="n">
        <v>0.304</v>
      </c>
      <c r="B313" s="52">
        <f>$B$3*A313^2</f>
        <v/>
      </c>
      <c r="C313" s="52">
        <f>IF($B$4=3,IF(B313&lt;=0.5,1,(1-B313)/B313),IF($B$4=4,IF(B313&lt;=1/3,1,(-B313+SQRT(4*B313-3*B313^2))/(2*B313)),1))</f>
        <v/>
      </c>
      <c r="D313" s="51">
        <f>IF(A313&gt;$B$6+0.0000001,1E+30,$B$5*IF($B$4=3,1.5*(1-C313)^3,IF($B$4=4,2*(1-C313)^4+6*C313*(1-C313)^3,0)))</f>
        <v/>
      </c>
    </row>
    <row r="314">
      <c r="A314" s="51" t="n">
        <v>0.305</v>
      </c>
      <c r="B314" s="52">
        <f>$B$3*A314^2</f>
        <v/>
      </c>
      <c r="C314" s="52">
        <f>IF($B$4=3,IF(B314&lt;=0.5,1,(1-B314)/B314),IF($B$4=4,IF(B314&lt;=1/3,1,(-B314+SQRT(4*B314-3*B314^2))/(2*B314)),1))</f>
        <v/>
      </c>
      <c r="D314" s="51">
        <f>IF(A314&gt;$B$6+0.0000001,1E+30,$B$5*IF($B$4=3,1.5*(1-C314)^3,IF($B$4=4,2*(1-C314)^4+6*C314*(1-C314)^3,0)))</f>
        <v/>
      </c>
    </row>
    <row r="315">
      <c r="A315" s="51" t="n">
        <v>0.306</v>
      </c>
      <c r="B315" s="52">
        <f>$B$3*A315^2</f>
        <v/>
      </c>
      <c r="C315" s="52">
        <f>IF($B$4=3,IF(B315&lt;=0.5,1,(1-B315)/B315),IF($B$4=4,IF(B315&lt;=1/3,1,(-B315+SQRT(4*B315-3*B315^2))/(2*B315)),1))</f>
        <v/>
      </c>
      <c r="D315" s="51">
        <f>IF(A315&gt;$B$6+0.0000001,1E+30,$B$5*IF($B$4=3,1.5*(1-C315)^3,IF($B$4=4,2*(1-C315)^4+6*C315*(1-C315)^3,0)))</f>
        <v/>
      </c>
    </row>
    <row r="316">
      <c r="A316" s="51" t="n">
        <v>0.307</v>
      </c>
      <c r="B316" s="52">
        <f>$B$3*A316^2</f>
        <v/>
      </c>
      <c r="C316" s="52">
        <f>IF($B$4=3,IF(B316&lt;=0.5,1,(1-B316)/B316),IF($B$4=4,IF(B316&lt;=1/3,1,(-B316+SQRT(4*B316-3*B316^2))/(2*B316)),1))</f>
        <v/>
      </c>
      <c r="D316" s="51">
        <f>IF(A316&gt;$B$6+0.0000001,1E+30,$B$5*IF($B$4=3,1.5*(1-C316)^3,IF($B$4=4,2*(1-C316)^4+6*C316*(1-C316)^3,0)))</f>
        <v/>
      </c>
    </row>
    <row r="317">
      <c r="A317" s="51" t="n">
        <v>0.308</v>
      </c>
      <c r="B317" s="52">
        <f>$B$3*A317^2</f>
        <v/>
      </c>
      <c r="C317" s="52">
        <f>IF($B$4=3,IF(B317&lt;=0.5,1,(1-B317)/B317),IF($B$4=4,IF(B317&lt;=1/3,1,(-B317+SQRT(4*B317-3*B317^2))/(2*B317)),1))</f>
        <v/>
      </c>
      <c r="D317" s="51">
        <f>IF(A317&gt;$B$6+0.0000001,1E+30,$B$5*IF($B$4=3,1.5*(1-C317)^3,IF($B$4=4,2*(1-C317)^4+6*C317*(1-C317)^3,0)))</f>
        <v/>
      </c>
    </row>
    <row r="318">
      <c r="A318" s="51" t="n">
        <v>0.309</v>
      </c>
      <c r="B318" s="52">
        <f>$B$3*A318^2</f>
        <v/>
      </c>
      <c r="C318" s="52">
        <f>IF($B$4=3,IF(B318&lt;=0.5,1,(1-B318)/B318),IF($B$4=4,IF(B318&lt;=1/3,1,(-B318+SQRT(4*B318-3*B318^2))/(2*B318)),1))</f>
        <v/>
      </c>
      <c r="D318" s="51">
        <f>IF(A318&gt;$B$6+0.0000001,1E+30,$B$5*IF($B$4=3,1.5*(1-C318)^3,IF($B$4=4,2*(1-C318)^4+6*C318*(1-C318)^3,0)))</f>
        <v/>
      </c>
    </row>
    <row r="319">
      <c r="A319" s="51" t="n">
        <v>0.31</v>
      </c>
      <c r="B319" s="52">
        <f>$B$3*A319^2</f>
        <v/>
      </c>
      <c r="C319" s="52">
        <f>IF($B$4=3,IF(B319&lt;=0.5,1,(1-B319)/B319),IF($B$4=4,IF(B319&lt;=1/3,1,(-B319+SQRT(4*B319-3*B319^2))/(2*B319)),1))</f>
        <v/>
      </c>
      <c r="D319" s="51">
        <f>IF(A319&gt;$B$6+0.0000001,1E+30,$B$5*IF($B$4=3,1.5*(1-C319)^3,IF($B$4=4,2*(1-C319)^4+6*C319*(1-C319)^3,0)))</f>
        <v/>
      </c>
    </row>
    <row r="320">
      <c r="A320" s="51" t="n">
        <v>0.311</v>
      </c>
      <c r="B320" s="52">
        <f>$B$3*A320^2</f>
        <v/>
      </c>
      <c r="C320" s="52">
        <f>IF($B$4=3,IF(B320&lt;=0.5,1,(1-B320)/B320),IF($B$4=4,IF(B320&lt;=1/3,1,(-B320+SQRT(4*B320-3*B320^2))/(2*B320)),1))</f>
        <v/>
      </c>
      <c r="D320" s="51">
        <f>IF(A320&gt;$B$6+0.0000001,1E+30,$B$5*IF($B$4=3,1.5*(1-C320)^3,IF($B$4=4,2*(1-C320)^4+6*C320*(1-C320)^3,0)))</f>
        <v/>
      </c>
    </row>
    <row r="321">
      <c r="A321" s="51" t="n">
        <v>0.312</v>
      </c>
      <c r="B321" s="52">
        <f>$B$3*A321^2</f>
        <v/>
      </c>
      <c r="C321" s="52">
        <f>IF($B$4=3,IF(B321&lt;=0.5,1,(1-B321)/B321),IF($B$4=4,IF(B321&lt;=1/3,1,(-B321+SQRT(4*B321-3*B321^2))/(2*B321)),1))</f>
        <v/>
      </c>
      <c r="D321" s="51">
        <f>IF(A321&gt;$B$6+0.0000001,1E+30,$B$5*IF($B$4=3,1.5*(1-C321)^3,IF($B$4=4,2*(1-C321)^4+6*C321*(1-C321)^3,0)))</f>
        <v/>
      </c>
    </row>
    <row r="322">
      <c r="A322" s="51" t="n">
        <v>0.313</v>
      </c>
      <c r="B322" s="52">
        <f>$B$3*A322^2</f>
        <v/>
      </c>
      <c r="C322" s="52">
        <f>IF($B$4=3,IF(B322&lt;=0.5,1,(1-B322)/B322),IF($B$4=4,IF(B322&lt;=1/3,1,(-B322+SQRT(4*B322-3*B322^2))/(2*B322)),1))</f>
        <v/>
      </c>
      <c r="D322" s="51">
        <f>IF(A322&gt;$B$6+0.0000001,1E+30,$B$5*IF($B$4=3,1.5*(1-C322)^3,IF($B$4=4,2*(1-C322)^4+6*C322*(1-C322)^3,0)))</f>
        <v/>
      </c>
    </row>
    <row r="323">
      <c r="A323" s="51" t="n">
        <v>0.314</v>
      </c>
      <c r="B323" s="52">
        <f>$B$3*A323^2</f>
        <v/>
      </c>
      <c r="C323" s="52">
        <f>IF($B$4=3,IF(B323&lt;=0.5,1,(1-B323)/B323),IF($B$4=4,IF(B323&lt;=1/3,1,(-B323+SQRT(4*B323-3*B323^2))/(2*B323)),1))</f>
        <v/>
      </c>
      <c r="D323" s="51">
        <f>IF(A323&gt;$B$6+0.0000001,1E+30,$B$5*IF($B$4=3,1.5*(1-C323)^3,IF($B$4=4,2*(1-C323)^4+6*C323*(1-C323)^3,0)))</f>
        <v/>
      </c>
    </row>
    <row r="324">
      <c r="A324" s="51" t="n">
        <v>0.315</v>
      </c>
      <c r="B324" s="52">
        <f>$B$3*A324^2</f>
        <v/>
      </c>
      <c r="C324" s="52">
        <f>IF($B$4=3,IF(B324&lt;=0.5,1,(1-B324)/B324),IF($B$4=4,IF(B324&lt;=1/3,1,(-B324+SQRT(4*B324-3*B324^2))/(2*B324)),1))</f>
        <v/>
      </c>
      <c r="D324" s="51">
        <f>IF(A324&gt;$B$6+0.0000001,1E+30,$B$5*IF($B$4=3,1.5*(1-C324)^3,IF($B$4=4,2*(1-C324)^4+6*C324*(1-C324)^3,0)))</f>
        <v/>
      </c>
    </row>
    <row r="325">
      <c r="A325" s="51" t="n">
        <v>0.316</v>
      </c>
      <c r="B325" s="52">
        <f>$B$3*A325^2</f>
        <v/>
      </c>
      <c r="C325" s="52">
        <f>IF($B$4=3,IF(B325&lt;=0.5,1,(1-B325)/B325),IF($B$4=4,IF(B325&lt;=1/3,1,(-B325+SQRT(4*B325-3*B325^2))/(2*B325)),1))</f>
        <v/>
      </c>
      <c r="D325" s="51">
        <f>IF(A325&gt;$B$6+0.0000001,1E+30,$B$5*IF($B$4=3,1.5*(1-C325)^3,IF($B$4=4,2*(1-C325)^4+6*C325*(1-C325)^3,0)))</f>
        <v/>
      </c>
    </row>
    <row r="326">
      <c r="A326" s="51" t="n">
        <v>0.317</v>
      </c>
      <c r="B326" s="52">
        <f>$B$3*A326^2</f>
        <v/>
      </c>
      <c r="C326" s="52">
        <f>IF($B$4=3,IF(B326&lt;=0.5,1,(1-B326)/B326),IF($B$4=4,IF(B326&lt;=1/3,1,(-B326+SQRT(4*B326-3*B326^2))/(2*B326)),1))</f>
        <v/>
      </c>
      <c r="D326" s="51">
        <f>IF(A326&gt;$B$6+0.0000001,1E+30,$B$5*IF($B$4=3,1.5*(1-C326)^3,IF($B$4=4,2*(1-C326)^4+6*C326*(1-C326)^3,0)))</f>
        <v/>
      </c>
    </row>
    <row r="327">
      <c r="A327" s="51" t="n">
        <v>0.318</v>
      </c>
      <c r="B327" s="52">
        <f>$B$3*A327^2</f>
        <v/>
      </c>
      <c r="C327" s="52">
        <f>IF($B$4=3,IF(B327&lt;=0.5,1,(1-B327)/B327),IF($B$4=4,IF(B327&lt;=1/3,1,(-B327+SQRT(4*B327-3*B327^2))/(2*B327)),1))</f>
        <v/>
      </c>
      <c r="D327" s="51">
        <f>IF(A327&gt;$B$6+0.0000001,1E+30,$B$5*IF($B$4=3,1.5*(1-C327)^3,IF($B$4=4,2*(1-C327)^4+6*C327*(1-C327)^3,0)))</f>
        <v/>
      </c>
    </row>
    <row r="328">
      <c r="A328" s="51" t="n">
        <v>0.319</v>
      </c>
      <c r="B328" s="52">
        <f>$B$3*A328^2</f>
        <v/>
      </c>
      <c r="C328" s="52">
        <f>IF($B$4=3,IF(B328&lt;=0.5,1,(1-B328)/B328),IF($B$4=4,IF(B328&lt;=1/3,1,(-B328+SQRT(4*B328-3*B328^2))/(2*B328)),1))</f>
        <v/>
      </c>
      <c r="D328" s="51">
        <f>IF(A328&gt;$B$6+0.0000001,1E+30,$B$5*IF($B$4=3,1.5*(1-C328)^3,IF($B$4=4,2*(1-C328)^4+6*C328*(1-C328)^3,0)))</f>
        <v/>
      </c>
    </row>
    <row r="329">
      <c r="A329" s="51" t="n">
        <v>0.32</v>
      </c>
      <c r="B329" s="52">
        <f>$B$3*A329^2</f>
        <v/>
      </c>
      <c r="C329" s="52">
        <f>IF($B$4=3,IF(B329&lt;=0.5,1,(1-B329)/B329),IF($B$4=4,IF(B329&lt;=1/3,1,(-B329+SQRT(4*B329-3*B329^2))/(2*B329)),1))</f>
        <v/>
      </c>
      <c r="D329" s="51">
        <f>IF(A329&gt;$B$6+0.0000001,1E+30,$B$5*IF($B$4=3,1.5*(1-C329)^3,IF($B$4=4,2*(1-C329)^4+6*C329*(1-C329)^3,0)))</f>
        <v/>
      </c>
    </row>
    <row r="330">
      <c r="A330" s="51" t="n">
        <v>0.321</v>
      </c>
      <c r="B330" s="52">
        <f>$B$3*A330^2</f>
        <v/>
      </c>
      <c r="C330" s="52">
        <f>IF($B$4=3,IF(B330&lt;=0.5,1,(1-B330)/B330),IF($B$4=4,IF(B330&lt;=1/3,1,(-B330+SQRT(4*B330-3*B330^2))/(2*B330)),1))</f>
        <v/>
      </c>
      <c r="D330" s="51">
        <f>IF(A330&gt;$B$6+0.0000001,1E+30,$B$5*IF($B$4=3,1.5*(1-C330)^3,IF($B$4=4,2*(1-C330)^4+6*C330*(1-C330)^3,0)))</f>
        <v/>
      </c>
    </row>
    <row r="331">
      <c r="A331" s="51" t="n">
        <v>0.322</v>
      </c>
      <c r="B331" s="52">
        <f>$B$3*A331^2</f>
        <v/>
      </c>
      <c r="C331" s="52">
        <f>IF($B$4=3,IF(B331&lt;=0.5,1,(1-B331)/B331),IF($B$4=4,IF(B331&lt;=1/3,1,(-B331+SQRT(4*B331-3*B331^2))/(2*B331)),1))</f>
        <v/>
      </c>
      <c r="D331" s="51">
        <f>IF(A331&gt;$B$6+0.0000001,1E+30,$B$5*IF($B$4=3,1.5*(1-C331)^3,IF($B$4=4,2*(1-C331)^4+6*C331*(1-C331)^3,0)))</f>
        <v/>
      </c>
    </row>
    <row r="332">
      <c r="A332" s="51" t="n">
        <v>0.323</v>
      </c>
      <c r="B332" s="52">
        <f>$B$3*A332^2</f>
        <v/>
      </c>
      <c r="C332" s="52">
        <f>IF($B$4=3,IF(B332&lt;=0.5,1,(1-B332)/B332),IF($B$4=4,IF(B332&lt;=1/3,1,(-B332+SQRT(4*B332-3*B332^2))/(2*B332)),1))</f>
        <v/>
      </c>
      <c r="D332" s="51">
        <f>IF(A332&gt;$B$6+0.0000001,1E+30,$B$5*IF($B$4=3,1.5*(1-C332)^3,IF($B$4=4,2*(1-C332)^4+6*C332*(1-C332)^3,0)))</f>
        <v/>
      </c>
    </row>
    <row r="333">
      <c r="A333" s="51" t="n">
        <v>0.324</v>
      </c>
      <c r="B333" s="52">
        <f>$B$3*A333^2</f>
        <v/>
      </c>
      <c r="C333" s="52">
        <f>IF($B$4=3,IF(B333&lt;=0.5,1,(1-B333)/B333),IF($B$4=4,IF(B333&lt;=1/3,1,(-B333+SQRT(4*B333-3*B333^2))/(2*B333)),1))</f>
        <v/>
      </c>
      <c r="D333" s="51">
        <f>IF(A333&gt;$B$6+0.0000001,1E+30,$B$5*IF($B$4=3,1.5*(1-C333)^3,IF($B$4=4,2*(1-C333)^4+6*C333*(1-C333)^3,0)))</f>
        <v/>
      </c>
    </row>
    <row r="334">
      <c r="A334" s="51" t="n">
        <v>0.325</v>
      </c>
      <c r="B334" s="52">
        <f>$B$3*A334^2</f>
        <v/>
      </c>
      <c r="C334" s="52">
        <f>IF($B$4=3,IF(B334&lt;=0.5,1,(1-B334)/B334),IF($B$4=4,IF(B334&lt;=1/3,1,(-B334+SQRT(4*B334-3*B334^2))/(2*B334)),1))</f>
        <v/>
      </c>
      <c r="D334" s="51">
        <f>IF(A334&gt;$B$6+0.0000001,1E+30,$B$5*IF($B$4=3,1.5*(1-C334)^3,IF($B$4=4,2*(1-C334)^4+6*C334*(1-C334)^3,0)))</f>
        <v/>
      </c>
    </row>
    <row r="335">
      <c r="A335" s="51" t="n">
        <v>0.326</v>
      </c>
      <c r="B335" s="52">
        <f>$B$3*A335^2</f>
        <v/>
      </c>
      <c r="C335" s="52">
        <f>IF($B$4=3,IF(B335&lt;=0.5,1,(1-B335)/B335),IF($B$4=4,IF(B335&lt;=1/3,1,(-B335+SQRT(4*B335-3*B335^2))/(2*B335)),1))</f>
        <v/>
      </c>
      <c r="D335" s="51">
        <f>IF(A335&gt;$B$6+0.0000001,1E+30,$B$5*IF($B$4=3,1.5*(1-C335)^3,IF($B$4=4,2*(1-C335)^4+6*C335*(1-C335)^3,0)))</f>
        <v/>
      </c>
    </row>
    <row r="336">
      <c r="A336" s="51" t="n">
        <v>0.327</v>
      </c>
      <c r="B336" s="52">
        <f>$B$3*A336^2</f>
        <v/>
      </c>
      <c r="C336" s="52">
        <f>IF($B$4=3,IF(B336&lt;=0.5,1,(1-B336)/B336),IF($B$4=4,IF(B336&lt;=1/3,1,(-B336+SQRT(4*B336-3*B336^2))/(2*B336)),1))</f>
        <v/>
      </c>
      <c r="D336" s="51">
        <f>IF(A336&gt;$B$6+0.0000001,1E+30,$B$5*IF($B$4=3,1.5*(1-C336)^3,IF($B$4=4,2*(1-C336)^4+6*C336*(1-C336)^3,0)))</f>
        <v/>
      </c>
    </row>
    <row r="337">
      <c r="A337" s="51" t="n">
        <v>0.328</v>
      </c>
      <c r="B337" s="52">
        <f>$B$3*A337^2</f>
        <v/>
      </c>
      <c r="C337" s="52">
        <f>IF($B$4=3,IF(B337&lt;=0.5,1,(1-B337)/B337),IF($B$4=4,IF(B337&lt;=1/3,1,(-B337+SQRT(4*B337-3*B337^2))/(2*B337)),1))</f>
        <v/>
      </c>
      <c r="D337" s="51">
        <f>IF(A337&gt;$B$6+0.0000001,1E+30,$B$5*IF($B$4=3,1.5*(1-C337)^3,IF($B$4=4,2*(1-C337)^4+6*C337*(1-C337)^3,0)))</f>
        <v/>
      </c>
    </row>
    <row r="338">
      <c r="A338" s="51" t="n">
        <v>0.329</v>
      </c>
      <c r="B338" s="52">
        <f>$B$3*A338^2</f>
        <v/>
      </c>
      <c r="C338" s="52">
        <f>IF($B$4=3,IF(B338&lt;=0.5,1,(1-B338)/B338),IF($B$4=4,IF(B338&lt;=1/3,1,(-B338+SQRT(4*B338-3*B338^2))/(2*B338)),1))</f>
        <v/>
      </c>
      <c r="D338" s="51">
        <f>IF(A338&gt;$B$6+0.0000001,1E+30,$B$5*IF($B$4=3,1.5*(1-C338)^3,IF($B$4=4,2*(1-C338)^4+6*C338*(1-C338)^3,0)))</f>
        <v/>
      </c>
    </row>
    <row r="339">
      <c r="A339" s="51" t="n">
        <v>0.33</v>
      </c>
      <c r="B339" s="52">
        <f>$B$3*A339^2</f>
        <v/>
      </c>
      <c r="C339" s="52">
        <f>IF($B$4=3,IF(B339&lt;=0.5,1,(1-B339)/B339),IF($B$4=4,IF(B339&lt;=1/3,1,(-B339+SQRT(4*B339-3*B339^2))/(2*B339)),1))</f>
        <v/>
      </c>
      <c r="D339" s="51">
        <f>IF(A339&gt;$B$6+0.0000001,1E+30,$B$5*IF($B$4=3,1.5*(1-C339)^3,IF($B$4=4,2*(1-C339)^4+6*C339*(1-C339)^3,0)))</f>
        <v/>
      </c>
    </row>
    <row r="340">
      <c r="A340" s="51" t="n">
        <v>0.331</v>
      </c>
      <c r="B340" s="52">
        <f>$B$3*A340^2</f>
        <v/>
      </c>
      <c r="C340" s="52">
        <f>IF($B$4=3,IF(B340&lt;=0.5,1,(1-B340)/B340),IF($B$4=4,IF(B340&lt;=1/3,1,(-B340+SQRT(4*B340-3*B340^2))/(2*B340)),1))</f>
        <v/>
      </c>
      <c r="D340" s="51">
        <f>IF(A340&gt;$B$6+0.0000001,1E+30,$B$5*IF($B$4=3,1.5*(1-C340)^3,IF($B$4=4,2*(1-C340)^4+6*C340*(1-C340)^3,0)))</f>
        <v/>
      </c>
    </row>
    <row r="341">
      <c r="A341" s="51" t="n">
        <v>0.332</v>
      </c>
      <c r="B341" s="52">
        <f>$B$3*A341^2</f>
        <v/>
      </c>
      <c r="C341" s="52">
        <f>IF($B$4=3,IF(B341&lt;=0.5,1,(1-B341)/B341),IF($B$4=4,IF(B341&lt;=1/3,1,(-B341+SQRT(4*B341-3*B341^2))/(2*B341)),1))</f>
        <v/>
      </c>
      <c r="D341" s="51">
        <f>IF(A341&gt;$B$6+0.0000001,1E+30,$B$5*IF($B$4=3,1.5*(1-C341)^3,IF($B$4=4,2*(1-C341)^4+6*C341*(1-C341)^3,0)))</f>
        <v/>
      </c>
    </row>
    <row r="342">
      <c r="A342" s="51" t="n">
        <v>0.333</v>
      </c>
      <c r="B342" s="52">
        <f>$B$3*A342^2</f>
        <v/>
      </c>
      <c r="C342" s="52">
        <f>IF($B$4=3,IF(B342&lt;=0.5,1,(1-B342)/B342),IF($B$4=4,IF(B342&lt;=1/3,1,(-B342+SQRT(4*B342-3*B342^2))/(2*B342)),1))</f>
        <v/>
      </c>
      <c r="D342" s="51">
        <f>IF(A342&gt;$B$6+0.0000001,1E+30,$B$5*IF($B$4=3,1.5*(1-C342)^3,IF($B$4=4,2*(1-C342)^4+6*C342*(1-C342)^3,0)))</f>
        <v/>
      </c>
    </row>
    <row r="343">
      <c r="A343" s="51" t="n">
        <v>0.334</v>
      </c>
      <c r="B343" s="52">
        <f>$B$3*A343^2</f>
        <v/>
      </c>
      <c r="C343" s="52">
        <f>IF($B$4=3,IF(B343&lt;=0.5,1,(1-B343)/B343),IF($B$4=4,IF(B343&lt;=1/3,1,(-B343+SQRT(4*B343-3*B343^2))/(2*B343)),1))</f>
        <v/>
      </c>
      <c r="D343" s="51">
        <f>IF(A343&gt;$B$6+0.0000001,1E+30,$B$5*IF($B$4=3,1.5*(1-C343)^3,IF($B$4=4,2*(1-C343)^4+6*C343*(1-C343)^3,0)))</f>
        <v/>
      </c>
    </row>
    <row r="344">
      <c r="A344" s="51" t="n">
        <v>0.335</v>
      </c>
      <c r="B344" s="52">
        <f>$B$3*A344^2</f>
        <v/>
      </c>
      <c r="C344" s="52">
        <f>IF($B$4=3,IF(B344&lt;=0.5,1,(1-B344)/B344),IF($B$4=4,IF(B344&lt;=1/3,1,(-B344+SQRT(4*B344-3*B344^2))/(2*B344)),1))</f>
        <v/>
      </c>
      <c r="D344" s="51">
        <f>IF(A344&gt;$B$6+0.0000001,1E+30,$B$5*IF($B$4=3,1.5*(1-C344)^3,IF($B$4=4,2*(1-C344)^4+6*C344*(1-C344)^3,0)))</f>
        <v/>
      </c>
    </row>
    <row r="345">
      <c r="A345" s="51" t="n">
        <v>0.336</v>
      </c>
      <c r="B345" s="52">
        <f>$B$3*A345^2</f>
        <v/>
      </c>
      <c r="C345" s="52">
        <f>IF($B$4=3,IF(B345&lt;=0.5,1,(1-B345)/B345),IF($B$4=4,IF(B345&lt;=1/3,1,(-B345+SQRT(4*B345-3*B345^2))/(2*B345)),1))</f>
        <v/>
      </c>
      <c r="D345" s="51">
        <f>IF(A345&gt;$B$6+0.0000001,1E+30,$B$5*IF($B$4=3,1.5*(1-C345)^3,IF($B$4=4,2*(1-C345)^4+6*C345*(1-C345)^3,0)))</f>
        <v/>
      </c>
    </row>
    <row r="346">
      <c r="A346" s="51" t="n">
        <v>0.337</v>
      </c>
      <c r="B346" s="52">
        <f>$B$3*A346^2</f>
        <v/>
      </c>
      <c r="C346" s="52">
        <f>IF($B$4=3,IF(B346&lt;=0.5,1,(1-B346)/B346),IF($B$4=4,IF(B346&lt;=1/3,1,(-B346+SQRT(4*B346-3*B346^2))/(2*B346)),1))</f>
        <v/>
      </c>
      <c r="D346" s="51">
        <f>IF(A346&gt;$B$6+0.0000001,1E+30,$B$5*IF($B$4=3,1.5*(1-C346)^3,IF($B$4=4,2*(1-C346)^4+6*C346*(1-C346)^3,0)))</f>
        <v/>
      </c>
    </row>
    <row r="347">
      <c r="A347" s="51" t="n">
        <v>0.338</v>
      </c>
      <c r="B347" s="52">
        <f>$B$3*A347^2</f>
        <v/>
      </c>
      <c r="C347" s="52">
        <f>IF($B$4=3,IF(B347&lt;=0.5,1,(1-B347)/B347),IF($B$4=4,IF(B347&lt;=1/3,1,(-B347+SQRT(4*B347-3*B347^2))/(2*B347)),1))</f>
        <v/>
      </c>
      <c r="D347" s="51">
        <f>IF(A347&gt;$B$6+0.0000001,1E+30,$B$5*IF($B$4=3,1.5*(1-C347)^3,IF($B$4=4,2*(1-C347)^4+6*C347*(1-C347)^3,0)))</f>
        <v/>
      </c>
    </row>
    <row r="348">
      <c r="A348" s="51" t="n">
        <v>0.339</v>
      </c>
      <c r="B348" s="52">
        <f>$B$3*A348^2</f>
        <v/>
      </c>
      <c r="C348" s="52">
        <f>IF($B$4=3,IF(B348&lt;=0.5,1,(1-B348)/B348),IF($B$4=4,IF(B348&lt;=1/3,1,(-B348+SQRT(4*B348-3*B348^2))/(2*B348)),1))</f>
        <v/>
      </c>
      <c r="D348" s="51">
        <f>IF(A348&gt;$B$6+0.0000001,1E+30,$B$5*IF($B$4=3,1.5*(1-C348)^3,IF($B$4=4,2*(1-C348)^4+6*C348*(1-C348)^3,0)))</f>
        <v/>
      </c>
    </row>
    <row r="349">
      <c r="A349" s="51" t="n">
        <v>0.34</v>
      </c>
      <c r="B349" s="52">
        <f>$B$3*A349^2</f>
        <v/>
      </c>
      <c r="C349" s="52">
        <f>IF($B$4=3,IF(B349&lt;=0.5,1,(1-B349)/B349),IF($B$4=4,IF(B349&lt;=1/3,1,(-B349+SQRT(4*B349-3*B349^2))/(2*B349)),1))</f>
        <v/>
      </c>
      <c r="D349" s="51">
        <f>IF(A349&gt;$B$6+0.0000001,1E+30,$B$5*IF($B$4=3,1.5*(1-C349)^3,IF($B$4=4,2*(1-C349)^4+6*C349*(1-C349)^3,0)))</f>
        <v/>
      </c>
    </row>
    <row r="350">
      <c r="A350" s="51" t="n">
        <v>0.341</v>
      </c>
      <c r="B350" s="52">
        <f>$B$3*A350^2</f>
        <v/>
      </c>
      <c r="C350" s="52">
        <f>IF($B$4=3,IF(B350&lt;=0.5,1,(1-B350)/B350),IF($B$4=4,IF(B350&lt;=1/3,1,(-B350+SQRT(4*B350-3*B350^2))/(2*B350)),1))</f>
        <v/>
      </c>
      <c r="D350" s="51">
        <f>IF(A350&gt;$B$6+0.0000001,1E+30,$B$5*IF($B$4=3,1.5*(1-C350)^3,IF($B$4=4,2*(1-C350)^4+6*C350*(1-C350)^3,0)))</f>
        <v/>
      </c>
    </row>
    <row r="351">
      <c r="A351" s="51" t="n">
        <v>0.342</v>
      </c>
      <c r="B351" s="52">
        <f>$B$3*A351^2</f>
        <v/>
      </c>
      <c r="C351" s="52">
        <f>IF($B$4=3,IF(B351&lt;=0.5,1,(1-B351)/B351),IF($B$4=4,IF(B351&lt;=1/3,1,(-B351+SQRT(4*B351-3*B351^2))/(2*B351)),1))</f>
        <v/>
      </c>
      <c r="D351" s="51">
        <f>IF(A351&gt;$B$6+0.0000001,1E+30,$B$5*IF($B$4=3,1.5*(1-C351)^3,IF($B$4=4,2*(1-C351)^4+6*C351*(1-C351)^3,0)))</f>
        <v/>
      </c>
    </row>
    <row r="352">
      <c r="A352" s="51" t="n">
        <v>0.343</v>
      </c>
      <c r="B352" s="52">
        <f>$B$3*A352^2</f>
        <v/>
      </c>
      <c r="C352" s="52">
        <f>IF($B$4=3,IF(B352&lt;=0.5,1,(1-B352)/B352),IF($B$4=4,IF(B352&lt;=1/3,1,(-B352+SQRT(4*B352-3*B352^2))/(2*B352)),1))</f>
        <v/>
      </c>
      <c r="D352" s="51">
        <f>IF(A352&gt;$B$6+0.0000001,1E+30,$B$5*IF($B$4=3,1.5*(1-C352)^3,IF($B$4=4,2*(1-C352)^4+6*C352*(1-C352)^3,0)))</f>
        <v/>
      </c>
    </row>
    <row r="353">
      <c r="A353" s="51" t="n">
        <v>0.344</v>
      </c>
      <c r="B353" s="52">
        <f>$B$3*A353^2</f>
        <v/>
      </c>
      <c r="C353" s="52">
        <f>IF($B$4=3,IF(B353&lt;=0.5,1,(1-B353)/B353),IF($B$4=4,IF(B353&lt;=1/3,1,(-B353+SQRT(4*B353-3*B353^2))/(2*B353)),1))</f>
        <v/>
      </c>
      <c r="D353" s="51">
        <f>IF(A353&gt;$B$6+0.0000001,1E+30,$B$5*IF($B$4=3,1.5*(1-C353)^3,IF($B$4=4,2*(1-C353)^4+6*C353*(1-C353)^3,0)))</f>
        <v/>
      </c>
    </row>
    <row r="354">
      <c r="A354" s="51" t="n">
        <v>0.345</v>
      </c>
      <c r="B354" s="52">
        <f>$B$3*A354^2</f>
        <v/>
      </c>
      <c r="C354" s="52">
        <f>IF($B$4=3,IF(B354&lt;=0.5,1,(1-B354)/B354),IF($B$4=4,IF(B354&lt;=1/3,1,(-B354+SQRT(4*B354-3*B354^2))/(2*B354)),1))</f>
        <v/>
      </c>
      <c r="D354" s="51">
        <f>IF(A354&gt;$B$6+0.0000001,1E+30,$B$5*IF($B$4=3,1.5*(1-C354)^3,IF($B$4=4,2*(1-C354)^4+6*C354*(1-C354)^3,0)))</f>
        <v/>
      </c>
    </row>
    <row r="355">
      <c r="A355" s="51" t="n">
        <v>0.346</v>
      </c>
      <c r="B355" s="52">
        <f>$B$3*A355^2</f>
        <v/>
      </c>
      <c r="C355" s="52">
        <f>IF($B$4=3,IF(B355&lt;=0.5,1,(1-B355)/B355),IF($B$4=4,IF(B355&lt;=1/3,1,(-B355+SQRT(4*B355-3*B355^2))/(2*B355)),1))</f>
        <v/>
      </c>
      <c r="D355" s="51">
        <f>IF(A355&gt;$B$6+0.0000001,1E+30,$B$5*IF($B$4=3,1.5*(1-C355)^3,IF($B$4=4,2*(1-C355)^4+6*C355*(1-C355)^3,0)))</f>
        <v/>
      </c>
    </row>
    <row r="356">
      <c r="A356" s="51" t="n">
        <v>0.347</v>
      </c>
      <c r="B356" s="52">
        <f>$B$3*A356^2</f>
        <v/>
      </c>
      <c r="C356" s="52">
        <f>IF($B$4=3,IF(B356&lt;=0.5,1,(1-B356)/B356),IF($B$4=4,IF(B356&lt;=1/3,1,(-B356+SQRT(4*B356-3*B356^2))/(2*B356)),1))</f>
        <v/>
      </c>
      <c r="D356" s="51">
        <f>IF(A356&gt;$B$6+0.0000001,1E+30,$B$5*IF($B$4=3,1.5*(1-C356)^3,IF($B$4=4,2*(1-C356)^4+6*C356*(1-C356)^3,0)))</f>
        <v/>
      </c>
    </row>
    <row r="357">
      <c r="A357" s="51" t="n">
        <v>0.348</v>
      </c>
      <c r="B357" s="52">
        <f>$B$3*A357^2</f>
        <v/>
      </c>
      <c r="C357" s="52">
        <f>IF($B$4=3,IF(B357&lt;=0.5,1,(1-B357)/B357),IF($B$4=4,IF(B357&lt;=1/3,1,(-B357+SQRT(4*B357-3*B357^2))/(2*B357)),1))</f>
        <v/>
      </c>
      <c r="D357" s="51">
        <f>IF(A357&gt;$B$6+0.0000001,1E+30,$B$5*IF($B$4=3,1.5*(1-C357)^3,IF($B$4=4,2*(1-C357)^4+6*C357*(1-C357)^3,0)))</f>
        <v/>
      </c>
    </row>
    <row r="358">
      <c r="A358" s="51" t="n">
        <v>0.349</v>
      </c>
      <c r="B358" s="52">
        <f>$B$3*A358^2</f>
        <v/>
      </c>
      <c r="C358" s="52">
        <f>IF($B$4=3,IF(B358&lt;=0.5,1,(1-B358)/B358),IF($B$4=4,IF(B358&lt;=1/3,1,(-B358+SQRT(4*B358-3*B358^2))/(2*B358)),1))</f>
        <v/>
      </c>
      <c r="D358" s="51">
        <f>IF(A358&gt;$B$6+0.0000001,1E+30,$B$5*IF($B$4=3,1.5*(1-C358)^3,IF($B$4=4,2*(1-C358)^4+6*C358*(1-C358)^3,0)))</f>
        <v/>
      </c>
    </row>
    <row r="359">
      <c r="A359" s="51" t="n">
        <v>0.35</v>
      </c>
      <c r="B359" s="52">
        <f>$B$3*A359^2</f>
        <v/>
      </c>
      <c r="C359" s="52">
        <f>IF($B$4=3,IF(B359&lt;=0.5,1,(1-B359)/B359),IF($B$4=4,IF(B359&lt;=1/3,1,(-B359+SQRT(4*B359-3*B359^2))/(2*B359)),1))</f>
        <v/>
      </c>
      <c r="D359" s="51">
        <f>IF(A359&gt;$B$6+0.0000001,1E+30,$B$5*IF($B$4=3,1.5*(1-C359)^3,IF($B$4=4,2*(1-C359)^4+6*C359*(1-C359)^3,0)))</f>
        <v/>
      </c>
    </row>
    <row r="360">
      <c r="A360" s="51" t="n">
        <v>0.351</v>
      </c>
      <c r="B360" s="52">
        <f>$B$3*A360^2</f>
        <v/>
      </c>
      <c r="C360" s="52">
        <f>IF($B$4=3,IF(B360&lt;=0.5,1,(1-B360)/B360),IF($B$4=4,IF(B360&lt;=1/3,1,(-B360+SQRT(4*B360-3*B360^2))/(2*B360)),1))</f>
        <v/>
      </c>
      <c r="D360" s="51">
        <f>IF(A360&gt;$B$6+0.0000001,1E+30,$B$5*IF($B$4=3,1.5*(1-C360)^3,IF($B$4=4,2*(1-C360)^4+6*C360*(1-C360)^3,0)))</f>
        <v/>
      </c>
    </row>
    <row r="361">
      <c r="A361" s="51" t="n">
        <v>0.352</v>
      </c>
      <c r="B361" s="52">
        <f>$B$3*A361^2</f>
        <v/>
      </c>
      <c r="C361" s="52">
        <f>IF($B$4=3,IF(B361&lt;=0.5,1,(1-B361)/B361),IF($B$4=4,IF(B361&lt;=1/3,1,(-B361+SQRT(4*B361-3*B361^2))/(2*B361)),1))</f>
        <v/>
      </c>
      <c r="D361" s="51">
        <f>IF(A361&gt;$B$6+0.0000001,1E+30,$B$5*IF($B$4=3,1.5*(1-C361)^3,IF($B$4=4,2*(1-C361)^4+6*C361*(1-C361)^3,0)))</f>
        <v/>
      </c>
    </row>
    <row r="362">
      <c r="A362" s="51" t="n">
        <v>0.353</v>
      </c>
      <c r="B362" s="52">
        <f>$B$3*A362^2</f>
        <v/>
      </c>
      <c r="C362" s="52">
        <f>IF($B$4=3,IF(B362&lt;=0.5,1,(1-B362)/B362),IF($B$4=4,IF(B362&lt;=1/3,1,(-B362+SQRT(4*B362-3*B362^2))/(2*B362)),1))</f>
        <v/>
      </c>
      <c r="D362" s="51">
        <f>IF(A362&gt;$B$6+0.0000001,1E+30,$B$5*IF($B$4=3,1.5*(1-C362)^3,IF($B$4=4,2*(1-C362)^4+6*C362*(1-C362)^3,0)))</f>
        <v/>
      </c>
    </row>
    <row r="363">
      <c r="A363" s="51" t="n">
        <v>0.354</v>
      </c>
      <c r="B363" s="52">
        <f>$B$3*A363^2</f>
        <v/>
      </c>
      <c r="C363" s="52">
        <f>IF($B$4=3,IF(B363&lt;=0.5,1,(1-B363)/B363),IF($B$4=4,IF(B363&lt;=1/3,1,(-B363+SQRT(4*B363-3*B363^2))/(2*B363)),1))</f>
        <v/>
      </c>
      <c r="D363" s="51">
        <f>IF(A363&gt;$B$6+0.0000001,1E+30,$B$5*IF($B$4=3,1.5*(1-C363)^3,IF($B$4=4,2*(1-C363)^4+6*C363*(1-C363)^3,0)))</f>
        <v/>
      </c>
    </row>
    <row r="364">
      <c r="A364" s="51" t="n">
        <v>0.355</v>
      </c>
      <c r="B364" s="52">
        <f>$B$3*A364^2</f>
        <v/>
      </c>
      <c r="C364" s="52">
        <f>IF($B$4=3,IF(B364&lt;=0.5,1,(1-B364)/B364),IF($B$4=4,IF(B364&lt;=1/3,1,(-B364+SQRT(4*B364-3*B364^2))/(2*B364)),1))</f>
        <v/>
      </c>
      <c r="D364" s="51">
        <f>IF(A364&gt;$B$6+0.0000001,1E+30,$B$5*IF($B$4=3,1.5*(1-C364)^3,IF($B$4=4,2*(1-C364)^4+6*C364*(1-C364)^3,0)))</f>
        <v/>
      </c>
    </row>
    <row r="365">
      <c r="A365" s="51" t="n">
        <v>0.356</v>
      </c>
      <c r="B365" s="52">
        <f>$B$3*A365^2</f>
        <v/>
      </c>
      <c r="C365" s="52">
        <f>IF($B$4=3,IF(B365&lt;=0.5,1,(1-B365)/B365),IF($B$4=4,IF(B365&lt;=1/3,1,(-B365+SQRT(4*B365-3*B365^2))/(2*B365)),1))</f>
        <v/>
      </c>
      <c r="D365" s="51">
        <f>IF(A365&gt;$B$6+0.0000001,1E+30,$B$5*IF($B$4=3,1.5*(1-C365)^3,IF($B$4=4,2*(1-C365)^4+6*C365*(1-C365)^3,0)))</f>
        <v/>
      </c>
    </row>
    <row r="366">
      <c r="A366" s="51" t="n">
        <v>0.357</v>
      </c>
      <c r="B366" s="52">
        <f>$B$3*A366^2</f>
        <v/>
      </c>
      <c r="C366" s="52">
        <f>IF($B$4=3,IF(B366&lt;=0.5,1,(1-B366)/B366),IF($B$4=4,IF(B366&lt;=1/3,1,(-B366+SQRT(4*B366-3*B366^2))/(2*B366)),1))</f>
        <v/>
      </c>
      <c r="D366" s="51">
        <f>IF(A366&gt;$B$6+0.0000001,1E+30,$B$5*IF($B$4=3,1.5*(1-C366)^3,IF($B$4=4,2*(1-C366)^4+6*C366*(1-C366)^3,0)))</f>
        <v/>
      </c>
    </row>
    <row r="367">
      <c r="A367" s="51" t="n">
        <v>0.358</v>
      </c>
      <c r="B367" s="52">
        <f>$B$3*A367^2</f>
        <v/>
      </c>
      <c r="C367" s="52">
        <f>IF($B$4=3,IF(B367&lt;=0.5,1,(1-B367)/B367),IF($B$4=4,IF(B367&lt;=1/3,1,(-B367+SQRT(4*B367-3*B367^2))/(2*B367)),1))</f>
        <v/>
      </c>
      <c r="D367" s="51">
        <f>IF(A367&gt;$B$6+0.0000001,1E+30,$B$5*IF($B$4=3,1.5*(1-C367)^3,IF($B$4=4,2*(1-C367)^4+6*C367*(1-C367)^3,0)))</f>
        <v/>
      </c>
    </row>
    <row r="368">
      <c r="A368" s="51" t="n">
        <v>0.359</v>
      </c>
      <c r="B368" s="52">
        <f>$B$3*A368^2</f>
        <v/>
      </c>
      <c r="C368" s="52">
        <f>IF($B$4=3,IF(B368&lt;=0.5,1,(1-B368)/B368),IF($B$4=4,IF(B368&lt;=1/3,1,(-B368+SQRT(4*B368-3*B368^2))/(2*B368)),1))</f>
        <v/>
      </c>
      <c r="D368" s="51">
        <f>IF(A368&gt;$B$6+0.0000001,1E+30,$B$5*IF($B$4=3,1.5*(1-C368)^3,IF($B$4=4,2*(1-C368)^4+6*C368*(1-C368)^3,0)))</f>
        <v/>
      </c>
    </row>
    <row r="369">
      <c r="A369" s="51" t="n">
        <v>0.36</v>
      </c>
      <c r="B369" s="52">
        <f>$B$3*A369^2</f>
        <v/>
      </c>
      <c r="C369" s="52">
        <f>IF($B$4=3,IF(B369&lt;=0.5,1,(1-B369)/B369),IF($B$4=4,IF(B369&lt;=1/3,1,(-B369+SQRT(4*B369-3*B369^2))/(2*B369)),1))</f>
        <v/>
      </c>
      <c r="D369" s="51">
        <f>IF(A369&gt;$B$6+0.0000001,1E+30,$B$5*IF($B$4=3,1.5*(1-C369)^3,IF($B$4=4,2*(1-C369)^4+6*C369*(1-C369)^3,0)))</f>
        <v/>
      </c>
    </row>
    <row r="370">
      <c r="A370" s="51" t="n">
        <v>0.361</v>
      </c>
      <c r="B370" s="52">
        <f>$B$3*A370^2</f>
        <v/>
      </c>
      <c r="C370" s="52">
        <f>IF($B$4=3,IF(B370&lt;=0.5,1,(1-B370)/B370),IF($B$4=4,IF(B370&lt;=1/3,1,(-B370+SQRT(4*B370-3*B370^2))/(2*B370)),1))</f>
        <v/>
      </c>
      <c r="D370" s="51">
        <f>IF(A370&gt;$B$6+0.0000001,1E+30,$B$5*IF($B$4=3,1.5*(1-C370)^3,IF($B$4=4,2*(1-C370)^4+6*C370*(1-C370)^3,0)))</f>
        <v/>
      </c>
    </row>
    <row r="371">
      <c r="A371" s="51" t="n">
        <v>0.362</v>
      </c>
      <c r="B371" s="52">
        <f>$B$3*A371^2</f>
        <v/>
      </c>
      <c r="C371" s="52">
        <f>IF($B$4=3,IF(B371&lt;=0.5,1,(1-B371)/B371),IF($B$4=4,IF(B371&lt;=1/3,1,(-B371+SQRT(4*B371-3*B371^2))/(2*B371)),1))</f>
        <v/>
      </c>
      <c r="D371" s="51">
        <f>IF(A371&gt;$B$6+0.0000001,1E+30,$B$5*IF($B$4=3,1.5*(1-C371)^3,IF($B$4=4,2*(1-C371)^4+6*C371*(1-C371)^3,0)))</f>
        <v/>
      </c>
    </row>
    <row r="372">
      <c r="A372" s="51" t="n">
        <v>0.363</v>
      </c>
      <c r="B372" s="52">
        <f>$B$3*A372^2</f>
        <v/>
      </c>
      <c r="C372" s="52">
        <f>IF($B$4=3,IF(B372&lt;=0.5,1,(1-B372)/B372),IF($B$4=4,IF(B372&lt;=1/3,1,(-B372+SQRT(4*B372-3*B372^2))/(2*B372)),1))</f>
        <v/>
      </c>
      <c r="D372" s="51">
        <f>IF(A372&gt;$B$6+0.0000001,1E+30,$B$5*IF($B$4=3,1.5*(1-C372)^3,IF($B$4=4,2*(1-C372)^4+6*C372*(1-C372)^3,0)))</f>
        <v/>
      </c>
    </row>
    <row r="373">
      <c r="A373" s="51" t="n">
        <v>0.364</v>
      </c>
      <c r="B373" s="52">
        <f>$B$3*A373^2</f>
        <v/>
      </c>
      <c r="C373" s="52">
        <f>IF($B$4=3,IF(B373&lt;=0.5,1,(1-B373)/B373),IF($B$4=4,IF(B373&lt;=1/3,1,(-B373+SQRT(4*B373-3*B373^2))/(2*B373)),1))</f>
        <v/>
      </c>
      <c r="D373" s="51">
        <f>IF(A373&gt;$B$6+0.0000001,1E+30,$B$5*IF($B$4=3,1.5*(1-C373)^3,IF($B$4=4,2*(1-C373)^4+6*C373*(1-C373)^3,0)))</f>
        <v/>
      </c>
    </row>
    <row r="374">
      <c r="A374" s="51" t="n">
        <v>0.365</v>
      </c>
      <c r="B374" s="52">
        <f>$B$3*A374^2</f>
        <v/>
      </c>
      <c r="C374" s="52">
        <f>IF($B$4=3,IF(B374&lt;=0.5,1,(1-B374)/B374),IF($B$4=4,IF(B374&lt;=1/3,1,(-B374+SQRT(4*B374-3*B374^2))/(2*B374)),1))</f>
        <v/>
      </c>
      <c r="D374" s="51">
        <f>IF(A374&gt;$B$6+0.0000001,1E+30,$B$5*IF($B$4=3,1.5*(1-C374)^3,IF($B$4=4,2*(1-C374)^4+6*C374*(1-C374)^3,0)))</f>
        <v/>
      </c>
    </row>
    <row r="375">
      <c r="A375" s="51" t="n">
        <v>0.366</v>
      </c>
      <c r="B375" s="52">
        <f>$B$3*A375^2</f>
        <v/>
      </c>
      <c r="C375" s="52">
        <f>IF($B$4=3,IF(B375&lt;=0.5,1,(1-B375)/B375),IF($B$4=4,IF(B375&lt;=1/3,1,(-B375+SQRT(4*B375-3*B375^2))/(2*B375)),1))</f>
        <v/>
      </c>
      <c r="D375" s="51">
        <f>IF(A375&gt;$B$6+0.0000001,1E+30,$B$5*IF($B$4=3,1.5*(1-C375)^3,IF($B$4=4,2*(1-C375)^4+6*C375*(1-C375)^3,0)))</f>
        <v/>
      </c>
    </row>
    <row r="376">
      <c r="A376" s="51" t="n">
        <v>0.367</v>
      </c>
      <c r="B376" s="52">
        <f>$B$3*A376^2</f>
        <v/>
      </c>
      <c r="C376" s="52">
        <f>IF($B$4=3,IF(B376&lt;=0.5,1,(1-B376)/B376),IF($B$4=4,IF(B376&lt;=1/3,1,(-B376+SQRT(4*B376-3*B376^2))/(2*B376)),1))</f>
        <v/>
      </c>
      <c r="D376" s="51">
        <f>IF(A376&gt;$B$6+0.0000001,1E+30,$B$5*IF($B$4=3,1.5*(1-C376)^3,IF($B$4=4,2*(1-C376)^4+6*C376*(1-C376)^3,0)))</f>
        <v/>
      </c>
    </row>
    <row r="377">
      <c r="A377" s="51" t="n">
        <v>0.368</v>
      </c>
      <c r="B377" s="52">
        <f>$B$3*A377^2</f>
        <v/>
      </c>
      <c r="C377" s="52">
        <f>IF($B$4=3,IF(B377&lt;=0.5,1,(1-B377)/B377),IF($B$4=4,IF(B377&lt;=1/3,1,(-B377+SQRT(4*B377-3*B377^2))/(2*B377)),1))</f>
        <v/>
      </c>
      <c r="D377" s="51">
        <f>IF(A377&gt;$B$6+0.0000001,1E+30,$B$5*IF($B$4=3,1.5*(1-C377)^3,IF($B$4=4,2*(1-C377)^4+6*C377*(1-C377)^3,0)))</f>
        <v/>
      </c>
    </row>
    <row r="378">
      <c r="A378" s="51" t="n">
        <v>0.369</v>
      </c>
      <c r="B378" s="52">
        <f>$B$3*A378^2</f>
        <v/>
      </c>
      <c r="C378" s="52">
        <f>IF($B$4=3,IF(B378&lt;=0.5,1,(1-B378)/B378),IF($B$4=4,IF(B378&lt;=1/3,1,(-B378+SQRT(4*B378-3*B378^2))/(2*B378)),1))</f>
        <v/>
      </c>
      <c r="D378" s="51">
        <f>IF(A378&gt;$B$6+0.0000001,1E+30,$B$5*IF($B$4=3,1.5*(1-C378)^3,IF($B$4=4,2*(1-C378)^4+6*C378*(1-C378)^3,0)))</f>
        <v/>
      </c>
    </row>
    <row r="379">
      <c r="A379" s="51" t="n">
        <v>0.37</v>
      </c>
      <c r="B379" s="52">
        <f>$B$3*A379^2</f>
        <v/>
      </c>
      <c r="C379" s="52">
        <f>IF($B$4=3,IF(B379&lt;=0.5,1,(1-B379)/B379),IF($B$4=4,IF(B379&lt;=1/3,1,(-B379+SQRT(4*B379-3*B379^2))/(2*B379)),1))</f>
        <v/>
      </c>
      <c r="D379" s="51">
        <f>IF(A379&gt;$B$6+0.0000001,1E+30,$B$5*IF($B$4=3,1.5*(1-C379)^3,IF($B$4=4,2*(1-C379)^4+6*C379*(1-C379)^3,0)))</f>
        <v/>
      </c>
    </row>
    <row r="380">
      <c r="A380" s="51" t="n">
        <v>0.371</v>
      </c>
      <c r="B380" s="52">
        <f>$B$3*A380^2</f>
        <v/>
      </c>
      <c r="C380" s="52">
        <f>IF($B$4=3,IF(B380&lt;=0.5,1,(1-B380)/B380),IF($B$4=4,IF(B380&lt;=1/3,1,(-B380+SQRT(4*B380-3*B380^2))/(2*B380)),1))</f>
        <v/>
      </c>
      <c r="D380" s="51">
        <f>IF(A380&gt;$B$6+0.0000001,1E+30,$B$5*IF($B$4=3,1.5*(1-C380)^3,IF($B$4=4,2*(1-C380)^4+6*C380*(1-C380)^3,0)))</f>
        <v/>
      </c>
    </row>
    <row r="381">
      <c r="A381" s="51" t="n">
        <v>0.372</v>
      </c>
      <c r="B381" s="52">
        <f>$B$3*A381^2</f>
        <v/>
      </c>
      <c r="C381" s="52">
        <f>IF($B$4=3,IF(B381&lt;=0.5,1,(1-B381)/B381),IF($B$4=4,IF(B381&lt;=1/3,1,(-B381+SQRT(4*B381-3*B381^2))/(2*B381)),1))</f>
        <v/>
      </c>
      <c r="D381" s="51">
        <f>IF(A381&gt;$B$6+0.0000001,1E+30,$B$5*IF($B$4=3,1.5*(1-C381)^3,IF($B$4=4,2*(1-C381)^4+6*C381*(1-C381)^3,0)))</f>
        <v/>
      </c>
    </row>
    <row r="382">
      <c r="A382" s="51" t="n">
        <v>0.373</v>
      </c>
      <c r="B382" s="52">
        <f>$B$3*A382^2</f>
        <v/>
      </c>
      <c r="C382" s="52">
        <f>IF($B$4=3,IF(B382&lt;=0.5,1,(1-B382)/B382),IF($B$4=4,IF(B382&lt;=1/3,1,(-B382+SQRT(4*B382-3*B382^2))/(2*B382)),1))</f>
        <v/>
      </c>
      <c r="D382" s="51">
        <f>IF(A382&gt;$B$6+0.0000001,1E+30,$B$5*IF($B$4=3,1.5*(1-C382)^3,IF($B$4=4,2*(1-C382)^4+6*C382*(1-C382)^3,0)))</f>
        <v/>
      </c>
    </row>
    <row r="383">
      <c r="A383" s="51" t="n">
        <v>0.374</v>
      </c>
      <c r="B383" s="52">
        <f>$B$3*A383^2</f>
        <v/>
      </c>
      <c r="C383" s="52">
        <f>IF($B$4=3,IF(B383&lt;=0.5,1,(1-B383)/B383),IF($B$4=4,IF(B383&lt;=1/3,1,(-B383+SQRT(4*B383-3*B383^2))/(2*B383)),1))</f>
        <v/>
      </c>
      <c r="D383" s="51">
        <f>IF(A383&gt;$B$6+0.0000001,1E+30,$B$5*IF($B$4=3,1.5*(1-C383)^3,IF($B$4=4,2*(1-C383)^4+6*C383*(1-C383)^3,0)))</f>
        <v/>
      </c>
    </row>
    <row r="384">
      <c r="A384" s="51" t="n">
        <v>0.375</v>
      </c>
      <c r="B384" s="52">
        <f>$B$3*A384^2</f>
        <v/>
      </c>
      <c r="C384" s="52">
        <f>IF($B$4=3,IF(B384&lt;=0.5,1,(1-B384)/B384),IF($B$4=4,IF(B384&lt;=1/3,1,(-B384+SQRT(4*B384-3*B384^2))/(2*B384)),1))</f>
        <v/>
      </c>
      <c r="D384" s="51">
        <f>IF(A384&gt;$B$6+0.0000001,1E+30,$B$5*IF($B$4=3,1.5*(1-C384)^3,IF($B$4=4,2*(1-C384)^4+6*C384*(1-C384)^3,0)))</f>
        <v/>
      </c>
    </row>
    <row r="385">
      <c r="A385" s="51" t="n">
        <v>0.376</v>
      </c>
      <c r="B385" s="52">
        <f>$B$3*A385^2</f>
        <v/>
      </c>
      <c r="C385" s="52">
        <f>IF($B$4=3,IF(B385&lt;=0.5,1,(1-B385)/B385),IF($B$4=4,IF(B385&lt;=1/3,1,(-B385+SQRT(4*B385-3*B385^2))/(2*B385)),1))</f>
        <v/>
      </c>
      <c r="D385" s="51">
        <f>IF(A385&gt;$B$6+0.0000001,1E+30,$B$5*IF($B$4=3,1.5*(1-C385)^3,IF($B$4=4,2*(1-C385)^4+6*C385*(1-C385)^3,0)))</f>
        <v/>
      </c>
    </row>
    <row r="386">
      <c r="A386" s="51" t="n">
        <v>0.377</v>
      </c>
      <c r="B386" s="52">
        <f>$B$3*A386^2</f>
        <v/>
      </c>
      <c r="C386" s="52">
        <f>IF($B$4=3,IF(B386&lt;=0.5,1,(1-B386)/B386),IF($B$4=4,IF(B386&lt;=1/3,1,(-B386+SQRT(4*B386-3*B386^2))/(2*B386)),1))</f>
        <v/>
      </c>
      <c r="D386" s="51">
        <f>IF(A386&gt;$B$6+0.0000001,1E+30,$B$5*IF($B$4=3,1.5*(1-C386)^3,IF($B$4=4,2*(1-C386)^4+6*C386*(1-C386)^3,0)))</f>
        <v/>
      </c>
    </row>
    <row r="387">
      <c r="A387" s="51" t="n">
        <v>0.378</v>
      </c>
      <c r="B387" s="52">
        <f>$B$3*A387^2</f>
        <v/>
      </c>
      <c r="C387" s="52">
        <f>IF($B$4=3,IF(B387&lt;=0.5,1,(1-B387)/B387),IF($B$4=4,IF(B387&lt;=1/3,1,(-B387+SQRT(4*B387-3*B387^2))/(2*B387)),1))</f>
        <v/>
      </c>
      <c r="D387" s="51">
        <f>IF(A387&gt;$B$6+0.0000001,1E+30,$B$5*IF($B$4=3,1.5*(1-C387)^3,IF($B$4=4,2*(1-C387)^4+6*C387*(1-C387)^3,0)))</f>
        <v/>
      </c>
    </row>
    <row r="388">
      <c r="A388" s="51" t="n">
        <v>0.379</v>
      </c>
      <c r="B388" s="52">
        <f>$B$3*A388^2</f>
        <v/>
      </c>
      <c r="C388" s="52">
        <f>IF($B$4=3,IF(B388&lt;=0.5,1,(1-B388)/B388),IF($B$4=4,IF(B388&lt;=1/3,1,(-B388+SQRT(4*B388-3*B388^2))/(2*B388)),1))</f>
        <v/>
      </c>
      <c r="D388" s="51">
        <f>IF(A388&gt;$B$6+0.0000001,1E+30,$B$5*IF($B$4=3,1.5*(1-C388)^3,IF($B$4=4,2*(1-C388)^4+6*C388*(1-C388)^3,0)))</f>
        <v/>
      </c>
    </row>
    <row r="389">
      <c r="A389" s="51" t="n">
        <v>0.38</v>
      </c>
      <c r="B389" s="52">
        <f>$B$3*A389^2</f>
        <v/>
      </c>
      <c r="C389" s="52">
        <f>IF($B$4=3,IF(B389&lt;=0.5,1,(1-B389)/B389),IF($B$4=4,IF(B389&lt;=1/3,1,(-B389+SQRT(4*B389-3*B389^2))/(2*B389)),1))</f>
        <v/>
      </c>
      <c r="D389" s="51">
        <f>IF(A389&gt;$B$6+0.0000001,1E+30,$B$5*IF($B$4=3,1.5*(1-C389)^3,IF($B$4=4,2*(1-C389)^4+6*C389*(1-C389)^3,0)))</f>
        <v/>
      </c>
    </row>
    <row r="390">
      <c r="A390" s="51" t="n">
        <v>0.381</v>
      </c>
      <c r="B390" s="52">
        <f>$B$3*A390^2</f>
        <v/>
      </c>
      <c r="C390" s="52">
        <f>IF($B$4=3,IF(B390&lt;=0.5,1,(1-B390)/B390),IF($B$4=4,IF(B390&lt;=1/3,1,(-B390+SQRT(4*B390-3*B390^2))/(2*B390)),1))</f>
        <v/>
      </c>
      <c r="D390" s="51">
        <f>IF(A390&gt;$B$6+0.0000001,1E+30,$B$5*IF($B$4=3,1.5*(1-C390)^3,IF($B$4=4,2*(1-C390)^4+6*C390*(1-C390)^3,0)))</f>
        <v/>
      </c>
    </row>
    <row r="391">
      <c r="A391" s="51" t="n">
        <v>0.382</v>
      </c>
      <c r="B391" s="52">
        <f>$B$3*A391^2</f>
        <v/>
      </c>
      <c r="C391" s="52">
        <f>IF($B$4=3,IF(B391&lt;=0.5,1,(1-B391)/B391),IF($B$4=4,IF(B391&lt;=1/3,1,(-B391+SQRT(4*B391-3*B391^2))/(2*B391)),1))</f>
        <v/>
      </c>
      <c r="D391" s="51">
        <f>IF(A391&gt;$B$6+0.0000001,1E+30,$B$5*IF($B$4=3,1.5*(1-C391)^3,IF($B$4=4,2*(1-C391)^4+6*C391*(1-C391)^3,0)))</f>
        <v/>
      </c>
    </row>
    <row r="392">
      <c r="A392" s="51" t="n">
        <v>0.383</v>
      </c>
      <c r="B392" s="52">
        <f>$B$3*A392^2</f>
        <v/>
      </c>
      <c r="C392" s="52">
        <f>IF($B$4=3,IF(B392&lt;=0.5,1,(1-B392)/B392),IF($B$4=4,IF(B392&lt;=1/3,1,(-B392+SQRT(4*B392-3*B392^2))/(2*B392)),1))</f>
        <v/>
      </c>
      <c r="D392" s="51">
        <f>IF(A392&gt;$B$6+0.0000001,1E+30,$B$5*IF($B$4=3,1.5*(1-C392)^3,IF($B$4=4,2*(1-C392)^4+6*C392*(1-C392)^3,0)))</f>
        <v/>
      </c>
    </row>
    <row r="393">
      <c r="A393" s="51" t="n">
        <v>0.384</v>
      </c>
      <c r="B393" s="52">
        <f>$B$3*A393^2</f>
        <v/>
      </c>
      <c r="C393" s="52">
        <f>IF($B$4=3,IF(B393&lt;=0.5,1,(1-B393)/B393),IF($B$4=4,IF(B393&lt;=1/3,1,(-B393+SQRT(4*B393-3*B393^2))/(2*B393)),1))</f>
        <v/>
      </c>
      <c r="D393" s="51">
        <f>IF(A393&gt;$B$6+0.0000001,1E+30,$B$5*IF($B$4=3,1.5*(1-C393)^3,IF($B$4=4,2*(1-C393)^4+6*C393*(1-C393)^3,0)))</f>
        <v/>
      </c>
    </row>
    <row r="394">
      <c r="A394" s="51" t="n">
        <v>0.385</v>
      </c>
      <c r="B394" s="52">
        <f>$B$3*A394^2</f>
        <v/>
      </c>
      <c r="C394" s="52">
        <f>IF($B$4=3,IF(B394&lt;=0.5,1,(1-B394)/B394),IF($B$4=4,IF(B394&lt;=1/3,1,(-B394+SQRT(4*B394-3*B394^2))/(2*B394)),1))</f>
        <v/>
      </c>
      <c r="D394" s="51">
        <f>IF(A394&gt;$B$6+0.0000001,1E+30,$B$5*IF($B$4=3,1.5*(1-C394)^3,IF($B$4=4,2*(1-C394)^4+6*C394*(1-C394)^3,0)))</f>
        <v/>
      </c>
    </row>
    <row r="395">
      <c r="A395" s="51" t="n">
        <v>0.386</v>
      </c>
      <c r="B395" s="52">
        <f>$B$3*A395^2</f>
        <v/>
      </c>
      <c r="C395" s="52">
        <f>IF($B$4=3,IF(B395&lt;=0.5,1,(1-B395)/B395),IF($B$4=4,IF(B395&lt;=1/3,1,(-B395+SQRT(4*B395-3*B395^2))/(2*B395)),1))</f>
        <v/>
      </c>
      <c r="D395" s="51">
        <f>IF(A395&gt;$B$6+0.0000001,1E+30,$B$5*IF($B$4=3,1.5*(1-C395)^3,IF($B$4=4,2*(1-C395)^4+6*C395*(1-C395)^3,0)))</f>
        <v/>
      </c>
    </row>
    <row r="396">
      <c r="A396" s="51" t="n">
        <v>0.387</v>
      </c>
      <c r="B396" s="52">
        <f>$B$3*A396^2</f>
        <v/>
      </c>
      <c r="C396" s="52">
        <f>IF($B$4=3,IF(B396&lt;=0.5,1,(1-B396)/B396),IF($B$4=4,IF(B396&lt;=1/3,1,(-B396+SQRT(4*B396-3*B396^2))/(2*B396)),1))</f>
        <v/>
      </c>
      <c r="D396" s="51">
        <f>IF(A396&gt;$B$6+0.0000001,1E+30,$B$5*IF($B$4=3,1.5*(1-C396)^3,IF($B$4=4,2*(1-C396)^4+6*C396*(1-C396)^3,0)))</f>
        <v/>
      </c>
    </row>
    <row r="397">
      <c r="A397" s="51" t="n">
        <v>0.388</v>
      </c>
      <c r="B397" s="52">
        <f>$B$3*A397^2</f>
        <v/>
      </c>
      <c r="C397" s="52">
        <f>IF($B$4=3,IF(B397&lt;=0.5,1,(1-B397)/B397),IF($B$4=4,IF(B397&lt;=1/3,1,(-B397+SQRT(4*B397-3*B397^2))/(2*B397)),1))</f>
        <v/>
      </c>
      <c r="D397" s="51">
        <f>IF(A397&gt;$B$6+0.0000001,1E+30,$B$5*IF($B$4=3,1.5*(1-C397)^3,IF($B$4=4,2*(1-C397)^4+6*C397*(1-C397)^3,0)))</f>
        <v/>
      </c>
    </row>
    <row r="398">
      <c r="A398" s="51" t="n">
        <v>0.389</v>
      </c>
      <c r="B398" s="52">
        <f>$B$3*A398^2</f>
        <v/>
      </c>
      <c r="C398" s="52">
        <f>IF($B$4=3,IF(B398&lt;=0.5,1,(1-B398)/B398),IF($B$4=4,IF(B398&lt;=1/3,1,(-B398+SQRT(4*B398-3*B398^2))/(2*B398)),1))</f>
        <v/>
      </c>
      <c r="D398" s="51">
        <f>IF(A398&gt;$B$6+0.0000001,1E+30,$B$5*IF($B$4=3,1.5*(1-C398)^3,IF($B$4=4,2*(1-C398)^4+6*C398*(1-C398)^3,0)))</f>
        <v/>
      </c>
    </row>
    <row r="399">
      <c r="A399" s="51" t="n">
        <v>0.39</v>
      </c>
      <c r="B399" s="52">
        <f>$B$3*A399^2</f>
        <v/>
      </c>
      <c r="C399" s="52">
        <f>IF($B$4=3,IF(B399&lt;=0.5,1,(1-B399)/B399),IF($B$4=4,IF(B399&lt;=1/3,1,(-B399+SQRT(4*B399-3*B399^2))/(2*B399)),1))</f>
        <v/>
      </c>
      <c r="D399" s="51">
        <f>IF(A399&gt;$B$6+0.0000001,1E+30,$B$5*IF($B$4=3,1.5*(1-C399)^3,IF($B$4=4,2*(1-C399)^4+6*C399*(1-C399)^3,0)))</f>
        <v/>
      </c>
    </row>
    <row r="400">
      <c r="A400" s="51" t="n">
        <v>0.391</v>
      </c>
      <c r="B400" s="52">
        <f>$B$3*A400^2</f>
        <v/>
      </c>
      <c r="C400" s="52">
        <f>IF($B$4=3,IF(B400&lt;=0.5,1,(1-B400)/B400),IF($B$4=4,IF(B400&lt;=1/3,1,(-B400+SQRT(4*B400-3*B400^2))/(2*B400)),1))</f>
        <v/>
      </c>
      <c r="D400" s="51">
        <f>IF(A400&gt;$B$6+0.0000001,1E+30,$B$5*IF($B$4=3,1.5*(1-C400)^3,IF($B$4=4,2*(1-C400)^4+6*C400*(1-C400)^3,0)))</f>
        <v/>
      </c>
    </row>
    <row r="401">
      <c r="A401" s="51" t="n">
        <v>0.392</v>
      </c>
      <c r="B401" s="52">
        <f>$B$3*A401^2</f>
        <v/>
      </c>
      <c r="C401" s="52">
        <f>IF($B$4=3,IF(B401&lt;=0.5,1,(1-B401)/B401),IF($B$4=4,IF(B401&lt;=1/3,1,(-B401+SQRT(4*B401-3*B401^2))/(2*B401)),1))</f>
        <v/>
      </c>
      <c r="D401" s="51">
        <f>IF(A401&gt;$B$6+0.0000001,1E+30,$B$5*IF($B$4=3,1.5*(1-C401)^3,IF($B$4=4,2*(1-C401)^4+6*C401*(1-C401)^3,0)))</f>
        <v/>
      </c>
    </row>
    <row r="402">
      <c r="A402" s="51" t="n">
        <v>0.393</v>
      </c>
      <c r="B402" s="52">
        <f>$B$3*A402^2</f>
        <v/>
      </c>
      <c r="C402" s="52">
        <f>IF($B$4=3,IF(B402&lt;=0.5,1,(1-B402)/B402),IF($B$4=4,IF(B402&lt;=1/3,1,(-B402+SQRT(4*B402-3*B402^2))/(2*B402)),1))</f>
        <v/>
      </c>
      <c r="D402" s="51">
        <f>IF(A402&gt;$B$6+0.0000001,1E+30,$B$5*IF($B$4=3,1.5*(1-C402)^3,IF($B$4=4,2*(1-C402)^4+6*C402*(1-C402)^3,0)))</f>
        <v/>
      </c>
    </row>
    <row r="403">
      <c r="A403" s="51" t="n">
        <v>0.394</v>
      </c>
      <c r="B403" s="52">
        <f>$B$3*A403^2</f>
        <v/>
      </c>
      <c r="C403" s="52">
        <f>IF($B$4=3,IF(B403&lt;=0.5,1,(1-B403)/B403),IF($B$4=4,IF(B403&lt;=1/3,1,(-B403+SQRT(4*B403-3*B403^2))/(2*B403)),1))</f>
        <v/>
      </c>
      <c r="D403" s="51">
        <f>IF(A403&gt;$B$6+0.0000001,1E+30,$B$5*IF($B$4=3,1.5*(1-C403)^3,IF($B$4=4,2*(1-C403)^4+6*C403*(1-C403)^3,0)))</f>
        <v/>
      </c>
    </row>
    <row r="404">
      <c r="A404" s="51" t="n">
        <v>0.395</v>
      </c>
      <c r="B404" s="52">
        <f>$B$3*A404^2</f>
        <v/>
      </c>
      <c r="C404" s="52">
        <f>IF($B$4=3,IF(B404&lt;=0.5,1,(1-B404)/B404),IF($B$4=4,IF(B404&lt;=1/3,1,(-B404+SQRT(4*B404-3*B404^2))/(2*B404)),1))</f>
        <v/>
      </c>
      <c r="D404" s="51">
        <f>IF(A404&gt;$B$6+0.0000001,1E+30,$B$5*IF($B$4=3,1.5*(1-C404)^3,IF($B$4=4,2*(1-C404)^4+6*C404*(1-C404)^3,0)))</f>
        <v/>
      </c>
    </row>
    <row r="405">
      <c r="A405" s="51" t="n">
        <v>0.396</v>
      </c>
      <c r="B405" s="52">
        <f>$B$3*A405^2</f>
        <v/>
      </c>
      <c r="C405" s="52">
        <f>IF($B$4=3,IF(B405&lt;=0.5,1,(1-B405)/B405),IF($B$4=4,IF(B405&lt;=1/3,1,(-B405+SQRT(4*B405-3*B405^2))/(2*B405)),1))</f>
        <v/>
      </c>
      <c r="D405" s="51">
        <f>IF(A405&gt;$B$6+0.0000001,1E+30,$B$5*IF($B$4=3,1.5*(1-C405)^3,IF($B$4=4,2*(1-C405)^4+6*C405*(1-C405)^3,0)))</f>
        <v/>
      </c>
    </row>
    <row r="406">
      <c r="A406" s="51" t="n">
        <v>0.397</v>
      </c>
      <c r="B406" s="52">
        <f>$B$3*A406^2</f>
        <v/>
      </c>
      <c r="C406" s="52">
        <f>IF($B$4=3,IF(B406&lt;=0.5,1,(1-B406)/B406),IF($B$4=4,IF(B406&lt;=1/3,1,(-B406+SQRT(4*B406-3*B406^2))/(2*B406)),1))</f>
        <v/>
      </c>
      <c r="D406" s="51">
        <f>IF(A406&gt;$B$6+0.0000001,1E+30,$B$5*IF($B$4=3,1.5*(1-C406)^3,IF($B$4=4,2*(1-C406)^4+6*C406*(1-C406)^3,0)))</f>
        <v/>
      </c>
    </row>
    <row r="407">
      <c r="A407" s="51" t="n">
        <v>0.398</v>
      </c>
      <c r="B407" s="52">
        <f>$B$3*A407^2</f>
        <v/>
      </c>
      <c r="C407" s="52">
        <f>IF($B$4=3,IF(B407&lt;=0.5,1,(1-B407)/B407),IF($B$4=4,IF(B407&lt;=1/3,1,(-B407+SQRT(4*B407-3*B407^2))/(2*B407)),1))</f>
        <v/>
      </c>
      <c r="D407" s="51">
        <f>IF(A407&gt;$B$6+0.0000001,1E+30,$B$5*IF($B$4=3,1.5*(1-C407)^3,IF($B$4=4,2*(1-C407)^4+6*C407*(1-C407)^3,0)))</f>
        <v/>
      </c>
    </row>
    <row r="408">
      <c r="A408" s="51" t="n">
        <v>0.399</v>
      </c>
      <c r="B408" s="52">
        <f>$B$3*A408^2</f>
        <v/>
      </c>
      <c r="C408" s="52">
        <f>IF($B$4=3,IF(B408&lt;=0.5,1,(1-B408)/B408),IF($B$4=4,IF(B408&lt;=1/3,1,(-B408+SQRT(4*B408-3*B408^2))/(2*B408)),1))</f>
        <v/>
      </c>
      <c r="D408" s="51">
        <f>IF(A408&gt;$B$6+0.0000001,1E+30,$B$5*IF($B$4=3,1.5*(1-C408)^3,IF($B$4=4,2*(1-C408)^4+6*C408*(1-C408)^3,0)))</f>
        <v/>
      </c>
    </row>
    <row r="409">
      <c r="A409" s="51" t="n">
        <v>0.4</v>
      </c>
      <c r="B409" s="52">
        <f>$B$3*A409^2</f>
        <v/>
      </c>
      <c r="C409" s="52">
        <f>IF($B$4=3,IF(B409&lt;=0.5,1,(1-B409)/B409),IF($B$4=4,IF(B409&lt;=1/3,1,(-B409+SQRT(4*B409-3*B409^2))/(2*B409)),1))</f>
        <v/>
      </c>
      <c r="D409" s="51">
        <f>IF(A409&gt;$B$6+0.0000001,1E+30,$B$5*IF($B$4=3,1.5*(1-C409)^3,IF($B$4=4,2*(1-C409)^4+6*C409*(1-C409)^3,0)))</f>
        <v/>
      </c>
    </row>
    <row r="410">
      <c r="A410" s="51" t="n">
        <v>0.401</v>
      </c>
      <c r="B410" s="52">
        <f>$B$3*A410^2</f>
        <v/>
      </c>
      <c r="C410" s="52">
        <f>IF($B$4=3,IF(B410&lt;=0.5,1,(1-B410)/B410),IF($B$4=4,IF(B410&lt;=1/3,1,(-B410+SQRT(4*B410-3*B410^2))/(2*B410)),1))</f>
        <v/>
      </c>
      <c r="D410" s="51">
        <f>IF(A410&gt;$B$6+0.0000001,1E+30,$B$5*IF($B$4=3,1.5*(1-C410)^3,IF($B$4=4,2*(1-C410)^4+6*C410*(1-C410)^3,0)))</f>
        <v/>
      </c>
    </row>
    <row r="411">
      <c r="A411" s="51" t="n">
        <v>0.402</v>
      </c>
      <c r="B411" s="52">
        <f>$B$3*A411^2</f>
        <v/>
      </c>
      <c r="C411" s="52">
        <f>IF($B$4=3,IF(B411&lt;=0.5,1,(1-B411)/B411),IF($B$4=4,IF(B411&lt;=1/3,1,(-B411+SQRT(4*B411-3*B411^2))/(2*B411)),1))</f>
        <v/>
      </c>
      <c r="D411" s="51">
        <f>IF(A411&gt;$B$6+0.0000001,1E+30,$B$5*IF($B$4=3,1.5*(1-C411)^3,IF($B$4=4,2*(1-C411)^4+6*C411*(1-C411)^3,0)))</f>
        <v/>
      </c>
    </row>
    <row r="412">
      <c r="A412" s="51" t="n">
        <v>0.403</v>
      </c>
      <c r="B412" s="52">
        <f>$B$3*A412^2</f>
        <v/>
      </c>
      <c r="C412" s="52">
        <f>IF($B$4=3,IF(B412&lt;=0.5,1,(1-B412)/B412),IF($B$4=4,IF(B412&lt;=1/3,1,(-B412+SQRT(4*B412-3*B412^2))/(2*B412)),1))</f>
        <v/>
      </c>
      <c r="D412" s="51">
        <f>IF(A412&gt;$B$6+0.0000001,1E+30,$B$5*IF($B$4=3,1.5*(1-C412)^3,IF($B$4=4,2*(1-C412)^4+6*C412*(1-C412)^3,0)))</f>
        <v/>
      </c>
    </row>
    <row r="413">
      <c r="A413" s="51" t="n">
        <v>0.404</v>
      </c>
      <c r="B413" s="52">
        <f>$B$3*A413^2</f>
        <v/>
      </c>
      <c r="C413" s="52">
        <f>IF($B$4=3,IF(B413&lt;=0.5,1,(1-B413)/B413),IF($B$4=4,IF(B413&lt;=1/3,1,(-B413+SQRT(4*B413-3*B413^2))/(2*B413)),1))</f>
        <v/>
      </c>
      <c r="D413" s="51">
        <f>IF(A413&gt;$B$6+0.0000001,1E+30,$B$5*IF($B$4=3,1.5*(1-C413)^3,IF($B$4=4,2*(1-C413)^4+6*C413*(1-C413)^3,0)))</f>
        <v/>
      </c>
    </row>
    <row r="414">
      <c r="A414" s="51" t="n">
        <v>0.405</v>
      </c>
      <c r="B414" s="52">
        <f>$B$3*A414^2</f>
        <v/>
      </c>
      <c r="C414" s="52">
        <f>IF($B$4=3,IF(B414&lt;=0.5,1,(1-B414)/B414),IF($B$4=4,IF(B414&lt;=1/3,1,(-B414+SQRT(4*B414-3*B414^2))/(2*B414)),1))</f>
        <v/>
      </c>
      <c r="D414" s="51">
        <f>IF(A414&gt;$B$6+0.0000001,1E+30,$B$5*IF($B$4=3,1.5*(1-C414)^3,IF($B$4=4,2*(1-C414)^4+6*C414*(1-C414)^3,0)))</f>
        <v/>
      </c>
    </row>
    <row r="415">
      <c r="A415" s="51" t="n">
        <v>0.406</v>
      </c>
      <c r="B415" s="52">
        <f>$B$3*A415^2</f>
        <v/>
      </c>
      <c r="C415" s="52">
        <f>IF($B$4=3,IF(B415&lt;=0.5,1,(1-B415)/B415),IF($B$4=4,IF(B415&lt;=1/3,1,(-B415+SQRT(4*B415-3*B415^2))/(2*B415)),1))</f>
        <v/>
      </c>
      <c r="D415" s="51">
        <f>IF(A415&gt;$B$6+0.0000001,1E+30,$B$5*IF($B$4=3,1.5*(1-C415)^3,IF($B$4=4,2*(1-C415)^4+6*C415*(1-C415)^3,0)))</f>
        <v/>
      </c>
    </row>
    <row r="416">
      <c r="A416" s="51" t="n">
        <v>0.407</v>
      </c>
      <c r="B416" s="52">
        <f>$B$3*A416^2</f>
        <v/>
      </c>
      <c r="C416" s="52">
        <f>IF($B$4=3,IF(B416&lt;=0.5,1,(1-B416)/B416),IF($B$4=4,IF(B416&lt;=1/3,1,(-B416+SQRT(4*B416-3*B416^2))/(2*B416)),1))</f>
        <v/>
      </c>
      <c r="D416" s="51">
        <f>IF(A416&gt;$B$6+0.0000001,1E+30,$B$5*IF($B$4=3,1.5*(1-C416)^3,IF($B$4=4,2*(1-C416)^4+6*C416*(1-C416)^3,0)))</f>
        <v/>
      </c>
    </row>
    <row r="417">
      <c r="A417" s="51" t="n">
        <v>0.408</v>
      </c>
      <c r="B417" s="52">
        <f>$B$3*A417^2</f>
        <v/>
      </c>
      <c r="C417" s="52">
        <f>IF($B$4=3,IF(B417&lt;=0.5,1,(1-B417)/B417),IF($B$4=4,IF(B417&lt;=1/3,1,(-B417+SQRT(4*B417-3*B417^2))/(2*B417)),1))</f>
        <v/>
      </c>
      <c r="D417" s="51">
        <f>IF(A417&gt;$B$6+0.0000001,1E+30,$B$5*IF($B$4=3,1.5*(1-C417)^3,IF($B$4=4,2*(1-C417)^4+6*C417*(1-C417)^3,0)))</f>
        <v/>
      </c>
    </row>
    <row r="418">
      <c r="A418" s="51" t="n">
        <v>0.409</v>
      </c>
      <c r="B418" s="52">
        <f>$B$3*A418^2</f>
        <v/>
      </c>
      <c r="C418" s="52">
        <f>IF($B$4=3,IF(B418&lt;=0.5,1,(1-B418)/B418),IF($B$4=4,IF(B418&lt;=1/3,1,(-B418+SQRT(4*B418-3*B418^2))/(2*B418)),1))</f>
        <v/>
      </c>
      <c r="D418" s="51">
        <f>IF(A418&gt;$B$6+0.0000001,1E+30,$B$5*IF($B$4=3,1.5*(1-C418)^3,IF($B$4=4,2*(1-C418)^4+6*C418*(1-C418)^3,0)))</f>
        <v/>
      </c>
    </row>
    <row r="419">
      <c r="A419" s="51" t="n">
        <v>0.41</v>
      </c>
      <c r="B419" s="52">
        <f>$B$3*A419^2</f>
        <v/>
      </c>
      <c r="C419" s="52">
        <f>IF($B$4=3,IF(B419&lt;=0.5,1,(1-B419)/B419),IF($B$4=4,IF(B419&lt;=1/3,1,(-B419+SQRT(4*B419-3*B419^2))/(2*B419)),1))</f>
        <v/>
      </c>
      <c r="D419" s="51">
        <f>IF(A419&gt;$B$6+0.0000001,1E+30,$B$5*IF($B$4=3,1.5*(1-C419)^3,IF($B$4=4,2*(1-C419)^4+6*C419*(1-C419)^3,0)))</f>
        <v/>
      </c>
    </row>
    <row r="420">
      <c r="A420" s="51" t="n">
        <v>0.411</v>
      </c>
      <c r="B420" s="52">
        <f>$B$3*A420^2</f>
        <v/>
      </c>
      <c r="C420" s="52">
        <f>IF($B$4=3,IF(B420&lt;=0.5,1,(1-B420)/B420),IF($B$4=4,IF(B420&lt;=1/3,1,(-B420+SQRT(4*B420-3*B420^2))/(2*B420)),1))</f>
        <v/>
      </c>
      <c r="D420" s="51">
        <f>IF(A420&gt;$B$6+0.0000001,1E+30,$B$5*IF($B$4=3,1.5*(1-C420)^3,IF($B$4=4,2*(1-C420)^4+6*C420*(1-C420)^3,0)))</f>
        <v/>
      </c>
    </row>
    <row r="421">
      <c r="A421" s="51" t="n">
        <v>0.412</v>
      </c>
      <c r="B421" s="52">
        <f>$B$3*A421^2</f>
        <v/>
      </c>
      <c r="C421" s="52">
        <f>IF($B$4=3,IF(B421&lt;=0.5,1,(1-B421)/B421),IF($B$4=4,IF(B421&lt;=1/3,1,(-B421+SQRT(4*B421-3*B421^2))/(2*B421)),1))</f>
        <v/>
      </c>
      <c r="D421" s="51">
        <f>IF(A421&gt;$B$6+0.0000001,1E+30,$B$5*IF($B$4=3,1.5*(1-C421)^3,IF($B$4=4,2*(1-C421)^4+6*C421*(1-C421)^3,0)))</f>
        <v/>
      </c>
    </row>
    <row r="422">
      <c r="A422" s="51" t="n">
        <v>0.413</v>
      </c>
      <c r="B422" s="52">
        <f>$B$3*A422^2</f>
        <v/>
      </c>
      <c r="C422" s="52">
        <f>IF($B$4=3,IF(B422&lt;=0.5,1,(1-B422)/B422),IF($B$4=4,IF(B422&lt;=1/3,1,(-B422+SQRT(4*B422-3*B422^2))/(2*B422)),1))</f>
        <v/>
      </c>
      <c r="D422" s="51">
        <f>IF(A422&gt;$B$6+0.0000001,1E+30,$B$5*IF($B$4=3,1.5*(1-C422)^3,IF($B$4=4,2*(1-C422)^4+6*C422*(1-C422)^3,0)))</f>
        <v/>
      </c>
    </row>
    <row r="423">
      <c r="A423" s="51" t="n">
        <v>0.414</v>
      </c>
      <c r="B423" s="52">
        <f>$B$3*A423^2</f>
        <v/>
      </c>
      <c r="C423" s="52">
        <f>IF($B$4=3,IF(B423&lt;=0.5,1,(1-B423)/B423),IF($B$4=4,IF(B423&lt;=1/3,1,(-B423+SQRT(4*B423-3*B423^2))/(2*B423)),1))</f>
        <v/>
      </c>
      <c r="D423" s="51">
        <f>IF(A423&gt;$B$6+0.0000001,1E+30,$B$5*IF($B$4=3,1.5*(1-C423)^3,IF($B$4=4,2*(1-C423)^4+6*C423*(1-C423)^3,0)))</f>
        <v/>
      </c>
    </row>
    <row r="424">
      <c r="A424" s="51" t="n">
        <v>0.415</v>
      </c>
      <c r="B424" s="52">
        <f>$B$3*A424^2</f>
        <v/>
      </c>
      <c r="C424" s="52">
        <f>IF($B$4=3,IF(B424&lt;=0.5,1,(1-B424)/B424),IF($B$4=4,IF(B424&lt;=1/3,1,(-B424+SQRT(4*B424-3*B424^2))/(2*B424)),1))</f>
        <v/>
      </c>
      <c r="D424" s="51">
        <f>IF(A424&gt;$B$6+0.0000001,1E+30,$B$5*IF($B$4=3,1.5*(1-C424)^3,IF($B$4=4,2*(1-C424)^4+6*C424*(1-C424)^3,0)))</f>
        <v/>
      </c>
    </row>
    <row r="425">
      <c r="A425" s="51" t="n">
        <v>0.416</v>
      </c>
      <c r="B425" s="52">
        <f>$B$3*A425^2</f>
        <v/>
      </c>
      <c r="C425" s="52">
        <f>IF($B$4=3,IF(B425&lt;=0.5,1,(1-B425)/B425),IF($B$4=4,IF(B425&lt;=1/3,1,(-B425+SQRT(4*B425-3*B425^2))/(2*B425)),1))</f>
        <v/>
      </c>
      <c r="D425" s="51">
        <f>IF(A425&gt;$B$6+0.0000001,1E+30,$B$5*IF($B$4=3,1.5*(1-C425)^3,IF($B$4=4,2*(1-C425)^4+6*C425*(1-C425)^3,0)))</f>
        <v/>
      </c>
    </row>
    <row r="426">
      <c r="A426" s="51" t="n">
        <v>0.417</v>
      </c>
      <c r="B426" s="52">
        <f>$B$3*A426^2</f>
        <v/>
      </c>
      <c r="C426" s="52">
        <f>IF($B$4=3,IF(B426&lt;=0.5,1,(1-B426)/B426),IF($B$4=4,IF(B426&lt;=1/3,1,(-B426+SQRT(4*B426-3*B426^2))/(2*B426)),1))</f>
        <v/>
      </c>
      <c r="D426" s="51">
        <f>IF(A426&gt;$B$6+0.0000001,1E+30,$B$5*IF($B$4=3,1.5*(1-C426)^3,IF($B$4=4,2*(1-C426)^4+6*C426*(1-C426)^3,0)))</f>
        <v/>
      </c>
    </row>
    <row r="427">
      <c r="A427" s="51" t="n">
        <v>0.418</v>
      </c>
      <c r="B427" s="52">
        <f>$B$3*A427^2</f>
        <v/>
      </c>
      <c r="C427" s="52">
        <f>IF($B$4=3,IF(B427&lt;=0.5,1,(1-B427)/B427),IF($B$4=4,IF(B427&lt;=1/3,1,(-B427+SQRT(4*B427-3*B427^2))/(2*B427)),1))</f>
        <v/>
      </c>
      <c r="D427" s="51">
        <f>IF(A427&gt;$B$6+0.0000001,1E+30,$B$5*IF($B$4=3,1.5*(1-C427)^3,IF($B$4=4,2*(1-C427)^4+6*C427*(1-C427)^3,0)))</f>
        <v/>
      </c>
    </row>
    <row r="428">
      <c r="A428" s="51" t="n">
        <v>0.419</v>
      </c>
      <c r="B428" s="52">
        <f>$B$3*A428^2</f>
        <v/>
      </c>
      <c r="C428" s="52">
        <f>IF($B$4=3,IF(B428&lt;=0.5,1,(1-B428)/B428),IF($B$4=4,IF(B428&lt;=1/3,1,(-B428+SQRT(4*B428-3*B428^2))/(2*B428)),1))</f>
        <v/>
      </c>
      <c r="D428" s="51">
        <f>IF(A428&gt;$B$6+0.0000001,1E+30,$B$5*IF($B$4=3,1.5*(1-C428)^3,IF($B$4=4,2*(1-C428)^4+6*C428*(1-C428)^3,0)))</f>
        <v/>
      </c>
    </row>
    <row r="429">
      <c r="A429" s="51" t="n">
        <v>0.42</v>
      </c>
      <c r="B429" s="52">
        <f>$B$3*A429^2</f>
        <v/>
      </c>
      <c r="C429" s="52">
        <f>IF($B$4=3,IF(B429&lt;=0.5,1,(1-B429)/B429),IF($B$4=4,IF(B429&lt;=1/3,1,(-B429+SQRT(4*B429-3*B429^2))/(2*B429)),1))</f>
        <v/>
      </c>
      <c r="D429" s="51">
        <f>IF(A429&gt;$B$6+0.0000001,1E+30,$B$5*IF($B$4=3,1.5*(1-C429)^3,IF($B$4=4,2*(1-C429)^4+6*C429*(1-C429)^3,0)))</f>
        <v/>
      </c>
    </row>
    <row r="430">
      <c r="A430" s="51" t="n">
        <v>0.421</v>
      </c>
      <c r="B430" s="52">
        <f>$B$3*A430^2</f>
        <v/>
      </c>
      <c r="C430" s="52">
        <f>IF($B$4=3,IF(B430&lt;=0.5,1,(1-B430)/B430),IF($B$4=4,IF(B430&lt;=1/3,1,(-B430+SQRT(4*B430-3*B430^2))/(2*B430)),1))</f>
        <v/>
      </c>
      <c r="D430" s="51">
        <f>IF(A430&gt;$B$6+0.0000001,1E+30,$B$5*IF($B$4=3,1.5*(1-C430)^3,IF($B$4=4,2*(1-C430)^4+6*C430*(1-C430)^3,0)))</f>
        <v/>
      </c>
    </row>
    <row r="431">
      <c r="A431" s="51" t="n">
        <v>0.422</v>
      </c>
      <c r="B431" s="52">
        <f>$B$3*A431^2</f>
        <v/>
      </c>
      <c r="C431" s="52">
        <f>IF($B$4=3,IF(B431&lt;=0.5,1,(1-B431)/B431),IF($B$4=4,IF(B431&lt;=1/3,1,(-B431+SQRT(4*B431-3*B431^2))/(2*B431)),1))</f>
        <v/>
      </c>
      <c r="D431" s="51">
        <f>IF(A431&gt;$B$6+0.0000001,1E+30,$B$5*IF($B$4=3,1.5*(1-C431)^3,IF($B$4=4,2*(1-C431)^4+6*C431*(1-C431)^3,0)))</f>
        <v/>
      </c>
    </row>
    <row r="432">
      <c r="A432" s="51" t="n">
        <v>0.423</v>
      </c>
      <c r="B432" s="52">
        <f>$B$3*A432^2</f>
        <v/>
      </c>
      <c r="C432" s="52">
        <f>IF($B$4=3,IF(B432&lt;=0.5,1,(1-B432)/B432),IF($B$4=4,IF(B432&lt;=1/3,1,(-B432+SQRT(4*B432-3*B432^2))/(2*B432)),1))</f>
        <v/>
      </c>
      <c r="D432" s="51">
        <f>IF(A432&gt;$B$6+0.0000001,1E+30,$B$5*IF($B$4=3,1.5*(1-C432)^3,IF($B$4=4,2*(1-C432)^4+6*C432*(1-C432)^3,0)))</f>
        <v/>
      </c>
    </row>
    <row r="433">
      <c r="A433" s="51" t="n">
        <v>0.424</v>
      </c>
      <c r="B433" s="52">
        <f>$B$3*A433^2</f>
        <v/>
      </c>
      <c r="C433" s="52">
        <f>IF($B$4=3,IF(B433&lt;=0.5,1,(1-B433)/B433),IF($B$4=4,IF(B433&lt;=1/3,1,(-B433+SQRT(4*B433-3*B433^2))/(2*B433)),1))</f>
        <v/>
      </c>
      <c r="D433" s="51">
        <f>IF(A433&gt;$B$6+0.0000001,1E+30,$B$5*IF($B$4=3,1.5*(1-C433)^3,IF($B$4=4,2*(1-C433)^4+6*C433*(1-C433)^3,0)))</f>
        <v/>
      </c>
    </row>
    <row r="434">
      <c r="A434" s="51" t="n">
        <v>0.425</v>
      </c>
      <c r="B434" s="52">
        <f>$B$3*A434^2</f>
        <v/>
      </c>
      <c r="C434" s="52">
        <f>IF($B$4=3,IF(B434&lt;=0.5,1,(1-B434)/B434),IF($B$4=4,IF(B434&lt;=1/3,1,(-B434+SQRT(4*B434-3*B434^2))/(2*B434)),1))</f>
        <v/>
      </c>
      <c r="D434" s="51">
        <f>IF(A434&gt;$B$6+0.0000001,1E+30,$B$5*IF($B$4=3,1.5*(1-C434)^3,IF($B$4=4,2*(1-C434)^4+6*C434*(1-C434)^3,0)))</f>
        <v/>
      </c>
    </row>
    <row r="435">
      <c r="A435" s="51" t="n">
        <v>0.426</v>
      </c>
      <c r="B435" s="52">
        <f>$B$3*A435^2</f>
        <v/>
      </c>
      <c r="C435" s="52">
        <f>IF($B$4=3,IF(B435&lt;=0.5,1,(1-B435)/B435),IF($B$4=4,IF(B435&lt;=1/3,1,(-B435+SQRT(4*B435-3*B435^2))/(2*B435)),1))</f>
        <v/>
      </c>
      <c r="D435" s="51">
        <f>IF(A435&gt;$B$6+0.0000001,1E+30,$B$5*IF($B$4=3,1.5*(1-C435)^3,IF($B$4=4,2*(1-C435)^4+6*C435*(1-C435)^3,0)))</f>
        <v/>
      </c>
    </row>
    <row r="436">
      <c r="A436" s="51" t="n">
        <v>0.427</v>
      </c>
      <c r="B436" s="52">
        <f>$B$3*A436^2</f>
        <v/>
      </c>
      <c r="C436" s="52">
        <f>IF($B$4=3,IF(B436&lt;=0.5,1,(1-B436)/B436),IF($B$4=4,IF(B436&lt;=1/3,1,(-B436+SQRT(4*B436-3*B436^2))/(2*B436)),1))</f>
        <v/>
      </c>
      <c r="D436" s="51">
        <f>IF(A436&gt;$B$6+0.0000001,1E+30,$B$5*IF($B$4=3,1.5*(1-C436)^3,IF($B$4=4,2*(1-C436)^4+6*C436*(1-C436)^3,0)))</f>
        <v/>
      </c>
    </row>
    <row r="437">
      <c r="A437" s="51" t="n">
        <v>0.428</v>
      </c>
      <c r="B437" s="52">
        <f>$B$3*A437^2</f>
        <v/>
      </c>
      <c r="C437" s="52">
        <f>IF($B$4=3,IF(B437&lt;=0.5,1,(1-B437)/B437),IF($B$4=4,IF(B437&lt;=1/3,1,(-B437+SQRT(4*B437-3*B437^2))/(2*B437)),1))</f>
        <v/>
      </c>
      <c r="D437" s="51">
        <f>IF(A437&gt;$B$6+0.0000001,1E+30,$B$5*IF($B$4=3,1.5*(1-C437)^3,IF($B$4=4,2*(1-C437)^4+6*C437*(1-C437)^3,0)))</f>
        <v/>
      </c>
    </row>
    <row r="438">
      <c r="A438" s="51" t="n">
        <v>0.429</v>
      </c>
      <c r="B438" s="52">
        <f>$B$3*A438^2</f>
        <v/>
      </c>
      <c r="C438" s="52">
        <f>IF($B$4=3,IF(B438&lt;=0.5,1,(1-B438)/B438),IF($B$4=4,IF(B438&lt;=1/3,1,(-B438+SQRT(4*B438-3*B438^2))/(2*B438)),1))</f>
        <v/>
      </c>
      <c r="D438" s="51">
        <f>IF(A438&gt;$B$6+0.0000001,1E+30,$B$5*IF($B$4=3,1.5*(1-C438)^3,IF($B$4=4,2*(1-C438)^4+6*C438*(1-C438)^3,0)))</f>
        <v/>
      </c>
    </row>
    <row r="439">
      <c r="A439" s="51" t="n">
        <v>0.43</v>
      </c>
      <c r="B439" s="52">
        <f>$B$3*A439^2</f>
        <v/>
      </c>
      <c r="C439" s="52">
        <f>IF($B$4=3,IF(B439&lt;=0.5,1,(1-B439)/B439),IF($B$4=4,IF(B439&lt;=1/3,1,(-B439+SQRT(4*B439-3*B439^2))/(2*B439)),1))</f>
        <v/>
      </c>
      <c r="D439" s="51">
        <f>IF(A439&gt;$B$6+0.0000001,1E+30,$B$5*IF($B$4=3,1.5*(1-C439)^3,IF($B$4=4,2*(1-C439)^4+6*C439*(1-C439)^3,0)))</f>
        <v/>
      </c>
    </row>
    <row r="440">
      <c r="A440" s="51" t="n">
        <v>0.431</v>
      </c>
      <c r="B440" s="52">
        <f>$B$3*A440^2</f>
        <v/>
      </c>
      <c r="C440" s="52">
        <f>IF($B$4=3,IF(B440&lt;=0.5,1,(1-B440)/B440),IF($B$4=4,IF(B440&lt;=1/3,1,(-B440+SQRT(4*B440-3*B440^2))/(2*B440)),1))</f>
        <v/>
      </c>
      <c r="D440" s="51">
        <f>IF(A440&gt;$B$6+0.0000001,1E+30,$B$5*IF($B$4=3,1.5*(1-C440)^3,IF($B$4=4,2*(1-C440)^4+6*C440*(1-C440)^3,0)))</f>
        <v/>
      </c>
    </row>
    <row r="441">
      <c r="A441" s="51" t="n">
        <v>0.432</v>
      </c>
      <c r="B441" s="52">
        <f>$B$3*A441^2</f>
        <v/>
      </c>
      <c r="C441" s="52">
        <f>IF($B$4=3,IF(B441&lt;=0.5,1,(1-B441)/B441),IF($B$4=4,IF(B441&lt;=1/3,1,(-B441+SQRT(4*B441-3*B441^2))/(2*B441)),1))</f>
        <v/>
      </c>
      <c r="D441" s="51">
        <f>IF(A441&gt;$B$6+0.0000001,1E+30,$B$5*IF($B$4=3,1.5*(1-C441)^3,IF($B$4=4,2*(1-C441)^4+6*C441*(1-C441)^3,0)))</f>
        <v/>
      </c>
    </row>
    <row r="442">
      <c r="A442" s="51" t="n">
        <v>0.433</v>
      </c>
      <c r="B442" s="52">
        <f>$B$3*A442^2</f>
        <v/>
      </c>
      <c r="C442" s="52">
        <f>IF($B$4=3,IF(B442&lt;=0.5,1,(1-B442)/B442),IF($B$4=4,IF(B442&lt;=1/3,1,(-B442+SQRT(4*B442-3*B442^2))/(2*B442)),1))</f>
        <v/>
      </c>
      <c r="D442" s="51">
        <f>IF(A442&gt;$B$6+0.0000001,1E+30,$B$5*IF($B$4=3,1.5*(1-C442)^3,IF($B$4=4,2*(1-C442)^4+6*C442*(1-C442)^3,0)))</f>
        <v/>
      </c>
    </row>
    <row r="443">
      <c r="A443" s="51" t="n">
        <v>0.434</v>
      </c>
      <c r="B443" s="52">
        <f>$B$3*A443^2</f>
        <v/>
      </c>
      <c r="C443" s="52">
        <f>IF($B$4=3,IF(B443&lt;=0.5,1,(1-B443)/B443),IF($B$4=4,IF(B443&lt;=1/3,1,(-B443+SQRT(4*B443-3*B443^2))/(2*B443)),1))</f>
        <v/>
      </c>
      <c r="D443" s="51">
        <f>IF(A443&gt;$B$6+0.0000001,1E+30,$B$5*IF($B$4=3,1.5*(1-C443)^3,IF($B$4=4,2*(1-C443)^4+6*C443*(1-C443)^3,0)))</f>
        <v/>
      </c>
    </row>
    <row r="444">
      <c r="A444" s="51" t="n">
        <v>0.435</v>
      </c>
      <c r="B444" s="52">
        <f>$B$3*A444^2</f>
        <v/>
      </c>
      <c r="C444" s="52">
        <f>IF($B$4=3,IF(B444&lt;=0.5,1,(1-B444)/B444),IF($B$4=4,IF(B444&lt;=1/3,1,(-B444+SQRT(4*B444-3*B444^2))/(2*B444)),1))</f>
        <v/>
      </c>
      <c r="D444" s="51">
        <f>IF(A444&gt;$B$6+0.0000001,1E+30,$B$5*IF($B$4=3,1.5*(1-C444)^3,IF($B$4=4,2*(1-C444)^4+6*C444*(1-C444)^3,0)))</f>
        <v/>
      </c>
    </row>
    <row r="445">
      <c r="A445" s="51" t="n">
        <v>0.436</v>
      </c>
      <c r="B445" s="52">
        <f>$B$3*A445^2</f>
        <v/>
      </c>
      <c r="C445" s="52">
        <f>IF($B$4=3,IF(B445&lt;=0.5,1,(1-B445)/B445),IF($B$4=4,IF(B445&lt;=1/3,1,(-B445+SQRT(4*B445-3*B445^2))/(2*B445)),1))</f>
        <v/>
      </c>
      <c r="D445" s="51">
        <f>IF(A445&gt;$B$6+0.0000001,1E+30,$B$5*IF($B$4=3,1.5*(1-C445)^3,IF($B$4=4,2*(1-C445)^4+6*C445*(1-C445)^3,0)))</f>
        <v/>
      </c>
    </row>
    <row r="446">
      <c r="A446" s="51" t="n">
        <v>0.437</v>
      </c>
      <c r="B446" s="52">
        <f>$B$3*A446^2</f>
        <v/>
      </c>
      <c r="C446" s="52">
        <f>IF($B$4=3,IF(B446&lt;=0.5,1,(1-B446)/B446),IF($B$4=4,IF(B446&lt;=1/3,1,(-B446+SQRT(4*B446-3*B446^2))/(2*B446)),1))</f>
        <v/>
      </c>
      <c r="D446" s="51">
        <f>IF(A446&gt;$B$6+0.0000001,1E+30,$B$5*IF($B$4=3,1.5*(1-C446)^3,IF($B$4=4,2*(1-C446)^4+6*C446*(1-C446)^3,0)))</f>
        <v/>
      </c>
    </row>
    <row r="447">
      <c r="A447" s="51" t="n">
        <v>0.438</v>
      </c>
      <c r="B447" s="52">
        <f>$B$3*A447^2</f>
        <v/>
      </c>
      <c r="C447" s="52">
        <f>IF($B$4=3,IF(B447&lt;=0.5,1,(1-B447)/B447),IF($B$4=4,IF(B447&lt;=1/3,1,(-B447+SQRT(4*B447-3*B447^2))/(2*B447)),1))</f>
        <v/>
      </c>
      <c r="D447" s="51">
        <f>IF(A447&gt;$B$6+0.0000001,1E+30,$B$5*IF($B$4=3,1.5*(1-C447)^3,IF($B$4=4,2*(1-C447)^4+6*C447*(1-C447)^3,0)))</f>
        <v/>
      </c>
    </row>
    <row r="448">
      <c r="A448" s="51" t="n">
        <v>0.439</v>
      </c>
      <c r="B448" s="52">
        <f>$B$3*A448^2</f>
        <v/>
      </c>
      <c r="C448" s="52">
        <f>IF($B$4=3,IF(B448&lt;=0.5,1,(1-B448)/B448),IF($B$4=4,IF(B448&lt;=1/3,1,(-B448+SQRT(4*B448-3*B448^2))/(2*B448)),1))</f>
        <v/>
      </c>
      <c r="D448" s="51">
        <f>IF(A448&gt;$B$6+0.0000001,1E+30,$B$5*IF($B$4=3,1.5*(1-C448)^3,IF($B$4=4,2*(1-C448)^4+6*C448*(1-C448)^3,0)))</f>
        <v/>
      </c>
    </row>
    <row r="449">
      <c r="A449" s="51" t="n">
        <v>0.44</v>
      </c>
      <c r="B449" s="52">
        <f>$B$3*A449^2</f>
        <v/>
      </c>
      <c r="C449" s="52">
        <f>IF($B$4=3,IF(B449&lt;=0.5,1,(1-B449)/B449),IF($B$4=4,IF(B449&lt;=1/3,1,(-B449+SQRT(4*B449-3*B449^2))/(2*B449)),1))</f>
        <v/>
      </c>
      <c r="D449" s="51">
        <f>IF(A449&gt;$B$6+0.0000001,1E+30,$B$5*IF($B$4=3,1.5*(1-C449)^3,IF($B$4=4,2*(1-C449)^4+6*C449*(1-C449)^3,0)))</f>
        <v/>
      </c>
    </row>
    <row r="450">
      <c r="A450" s="51" t="n">
        <v>0.441</v>
      </c>
      <c r="B450" s="52">
        <f>$B$3*A450^2</f>
        <v/>
      </c>
      <c r="C450" s="52">
        <f>IF($B$4=3,IF(B450&lt;=0.5,1,(1-B450)/B450),IF($B$4=4,IF(B450&lt;=1/3,1,(-B450+SQRT(4*B450-3*B450^2))/(2*B450)),1))</f>
        <v/>
      </c>
      <c r="D450" s="51">
        <f>IF(A450&gt;$B$6+0.0000001,1E+30,$B$5*IF($B$4=3,1.5*(1-C450)^3,IF($B$4=4,2*(1-C450)^4+6*C450*(1-C450)^3,0)))</f>
        <v/>
      </c>
    </row>
    <row r="451">
      <c r="A451" s="51" t="n">
        <v>0.442</v>
      </c>
      <c r="B451" s="52">
        <f>$B$3*A451^2</f>
        <v/>
      </c>
      <c r="C451" s="52">
        <f>IF($B$4=3,IF(B451&lt;=0.5,1,(1-B451)/B451),IF($B$4=4,IF(B451&lt;=1/3,1,(-B451+SQRT(4*B451-3*B451^2))/(2*B451)),1))</f>
        <v/>
      </c>
      <c r="D451" s="51">
        <f>IF(A451&gt;$B$6+0.0000001,1E+30,$B$5*IF($B$4=3,1.5*(1-C451)^3,IF($B$4=4,2*(1-C451)^4+6*C451*(1-C451)^3,0)))</f>
        <v/>
      </c>
    </row>
    <row r="452">
      <c r="A452" s="51" t="n">
        <v>0.443</v>
      </c>
      <c r="B452" s="52">
        <f>$B$3*A452^2</f>
        <v/>
      </c>
      <c r="C452" s="52">
        <f>IF($B$4=3,IF(B452&lt;=0.5,1,(1-B452)/B452),IF($B$4=4,IF(B452&lt;=1/3,1,(-B452+SQRT(4*B452-3*B452^2))/(2*B452)),1))</f>
        <v/>
      </c>
      <c r="D452" s="51">
        <f>IF(A452&gt;$B$6+0.0000001,1E+30,$B$5*IF($B$4=3,1.5*(1-C452)^3,IF($B$4=4,2*(1-C452)^4+6*C452*(1-C452)^3,0)))</f>
        <v/>
      </c>
    </row>
    <row r="453">
      <c r="A453" s="51" t="n">
        <v>0.444</v>
      </c>
      <c r="B453" s="52">
        <f>$B$3*A453^2</f>
        <v/>
      </c>
      <c r="C453" s="52">
        <f>IF($B$4=3,IF(B453&lt;=0.5,1,(1-B453)/B453),IF($B$4=4,IF(B453&lt;=1/3,1,(-B453+SQRT(4*B453-3*B453^2))/(2*B453)),1))</f>
        <v/>
      </c>
      <c r="D453" s="51">
        <f>IF(A453&gt;$B$6+0.0000001,1E+30,$B$5*IF($B$4=3,1.5*(1-C453)^3,IF($B$4=4,2*(1-C453)^4+6*C453*(1-C453)^3,0)))</f>
        <v/>
      </c>
    </row>
    <row r="454">
      <c r="A454" s="51" t="n">
        <v>0.445</v>
      </c>
      <c r="B454" s="52">
        <f>$B$3*A454^2</f>
        <v/>
      </c>
      <c r="C454" s="52">
        <f>IF($B$4=3,IF(B454&lt;=0.5,1,(1-B454)/B454),IF($B$4=4,IF(B454&lt;=1/3,1,(-B454+SQRT(4*B454-3*B454^2))/(2*B454)),1))</f>
        <v/>
      </c>
      <c r="D454" s="51">
        <f>IF(A454&gt;$B$6+0.0000001,1E+30,$B$5*IF($B$4=3,1.5*(1-C454)^3,IF($B$4=4,2*(1-C454)^4+6*C454*(1-C454)^3,0)))</f>
        <v/>
      </c>
    </row>
    <row r="455">
      <c r="A455" s="51" t="n">
        <v>0.446</v>
      </c>
      <c r="B455" s="52">
        <f>$B$3*A455^2</f>
        <v/>
      </c>
      <c r="C455" s="52">
        <f>IF($B$4=3,IF(B455&lt;=0.5,1,(1-B455)/B455),IF($B$4=4,IF(B455&lt;=1/3,1,(-B455+SQRT(4*B455-3*B455^2))/(2*B455)),1))</f>
        <v/>
      </c>
      <c r="D455" s="51">
        <f>IF(A455&gt;$B$6+0.0000001,1E+30,$B$5*IF($B$4=3,1.5*(1-C455)^3,IF($B$4=4,2*(1-C455)^4+6*C455*(1-C455)^3,0)))</f>
        <v/>
      </c>
    </row>
    <row r="456">
      <c r="A456" s="51" t="n">
        <v>0.447</v>
      </c>
      <c r="B456" s="52">
        <f>$B$3*A456^2</f>
        <v/>
      </c>
      <c r="C456" s="52">
        <f>IF($B$4=3,IF(B456&lt;=0.5,1,(1-B456)/B456),IF($B$4=4,IF(B456&lt;=1/3,1,(-B456+SQRT(4*B456-3*B456^2))/(2*B456)),1))</f>
        <v/>
      </c>
      <c r="D456" s="51">
        <f>IF(A456&gt;$B$6+0.0000001,1E+30,$B$5*IF($B$4=3,1.5*(1-C456)^3,IF($B$4=4,2*(1-C456)^4+6*C456*(1-C456)^3,0)))</f>
        <v/>
      </c>
    </row>
    <row r="457">
      <c r="A457" s="51" t="n">
        <v>0.448</v>
      </c>
      <c r="B457" s="52">
        <f>$B$3*A457^2</f>
        <v/>
      </c>
      <c r="C457" s="52">
        <f>IF($B$4=3,IF(B457&lt;=0.5,1,(1-B457)/B457),IF($B$4=4,IF(B457&lt;=1/3,1,(-B457+SQRT(4*B457-3*B457^2))/(2*B457)),1))</f>
        <v/>
      </c>
      <c r="D457" s="51">
        <f>IF(A457&gt;$B$6+0.0000001,1E+30,$B$5*IF($B$4=3,1.5*(1-C457)^3,IF($B$4=4,2*(1-C457)^4+6*C457*(1-C457)^3,0)))</f>
        <v/>
      </c>
    </row>
    <row r="458">
      <c r="A458" s="51" t="n">
        <v>0.449</v>
      </c>
      <c r="B458" s="52">
        <f>$B$3*A458^2</f>
        <v/>
      </c>
      <c r="C458" s="52">
        <f>IF($B$4=3,IF(B458&lt;=0.5,1,(1-B458)/B458),IF($B$4=4,IF(B458&lt;=1/3,1,(-B458+SQRT(4*B458-3*B458^2))/(2*B458)),1))</f>
        <v/>
      </c>
      <c r="D458" s="51">
        <f>IF(A458&gt;$B$6+0.0000001,1E+30,$B$5*IF($B$4=3,1.5*(1-C458)^3,IF($B$4=4,2*(1-C458)^4+6*C458*(1-C458)^3,0)))</f>
        <v/>
      </c>
    </row>
    <row r="459">
      <c r="A459" s="51" t="n">
        <v>0.45</v>
      </c>
      <c r="B459" s="52">
        <f>$B$3*A459^2</f>
        <v/>
      </c>
      <c r="C459" s="52">
        <f>IF($B$4=3,IF(B459&lt;=0.5,1,(1-B459)/B459),IF($B$4=4,IF(B459&lt;=1/3,1,(-B459+SQRT(4*B459-3*B459^2))/(2*B459)),1))</f>
        <v/>
      </c>
      <c r="D459" s="51">
        <f>IF(A459&gt;$B$6+0.0000001,1E+30,$B$5*IF($B$4=3,1.5*(1-C459)^3,IF($B$4=4,2*(1-C459)^4+6*C459*(1-C459)^3,0)))</f>
        <v/>
      </c>
    </row>
    <row r="460">
      <c r="A460" s="51" t="n">
        <v>0.451</v>
      </c>
      <c r="B460" s="52">
        <f>$B$3*A460^2</f>
        <v/>
      </c>
      <c r="C460" s="52">
        <f>IF($B$4=3,IF(B460&lt;=0.5,1,(1-B460)/B460),IF($B$4=4,IF(B460&lt;=1/3,1,(-B460+SQRT(4*B460-3*B460^2))/(2*B460)),1))</f>
        <v/>
      </c>
      <c r="D460" s="51">
        <f>IF(A460&gt;$B$6+0.0000001,1E+30,$B$5*IF($B$4=3,1.5*(1-C460)^3,IF($B$4=4,2*(1-C460)^4+6*C460*(1-C460)^3,0)))</f>
        <v/>
      </c>
    </row>
    <row r="461">
      <c r="A461" s="51" t="n">
        <v>0.452</v>
      </c>
      <c r="B461" s="52">
        <f>$B$3*A461^2</f>
        <v/>
      </c>
      <c r="C461" s="52">
        <f>IF($B$4=3,IF(B461&lt;=0.5,1,(1-B461)/B461),IF($B$4=4,IF(B461&lt;=1/3,1,(-B461+SQRT(4*B461-3*B461^2))/(2*B461)),1))</f>
        <v/>
      </c>
      <c r="D461" s="51">
        <f>IF(A461&gt;$B$6+0.0000001,1E+30,$B$5*IF($B$4=3,1.5*(1-C461)^3,IF($B$4=4,2*(1-C461)^4+6*C461*(1-C461)^3,0)))</f>
        <v/>
      </c>
    </row>
    <row r="462">
      <c r="A462" s="51" t="n">
        <v>0.453</v>
      </c>
      <c r="B462" s="52">
        <f>$B$3*A462^2</f>
        <v/>
      </c>
      <c r="C462" s="52">
        <f>IF($B$4=3,IF(B462&lt;=0.5,1,(1-B462)/B462),IF($B$4=4,IF(B462&lt;=1/3,1,(-B462+SQRT(4*B462-3*B462^2))/(2*B462)),1))</f>
        <v/>
      </c>
      <c r="D462" s="51">
        <f>IF(A462&gt;$B$6+0.0000001,1E+30,$B$5*IF($B$4=3,1.5*(1-C462)^3,IF($B$4=4,2*(1-C462)^4+6*C462*(1-C462)^3,0)))</f>
        <v/>
      </c>
    </row>
    <row r="463">
      <c r="A463" s="51" t="n">
        <v>0.454</v>
      </c>
      <c r="B463" s="52">
        <f>$B$3*A463^2</f>
        <v/>
      </c>
      <c r="C463" s="52">
        <f>IF($B$4=3,IF(B463&lt;=0.5,1,(1-B463)/B463),IF($B$4=4,IF(B463&lt;=1/3,1,(-B463+SQRT(4*B463-3*B463^2))/(2*B463)),1))</f>
        <v/>
      </c>
      <c r="D463" s="51">
        <f>IF(A463&gt;$B$6+0.0000001,1E+30,$B$5*IF($B$4=3,1.5*(1-C463)^3,IF($B$4=4,2*(1-C463)^4+6*C463*(1-C463)^3,0)))</f>
        <v/>
      </c>
    </row>
    <row r="464">
      <c r="A464" s="51" t="n">
        <v>0.455</v>
      </c>
      <c r="B464" s="52">
        <f>$B$3*A464^2</f>
        <v/>
      </c>
      <c r="C464" s="52">
        <f>IF($B$4=3,IF(B464&lt;=0.5,1,(1-B464)/B464),IF($B$4=4,IF(B464&lt;=1/3,1,(-B464+SQRT(4*B464-3*B464^2))/(2*B464)),1))</f>
        <v/>
      </c>
      <c r="D464" s="51">
        <f>IF(A464&gt;$B$6+0.0000001,1E+30,$B$5*IF($B$4=3,1.5*(1-C464)^3,IF($B$4=4,2*(1-C464)^4+6*C464*(1-C464)^3,0)))</f>
        <v/>
      </c>
    </row>
    <row r="465">
      <c r="A465" s="51" t="n">
        <v>0.456</v>
      </c>
      <c r="B465" s="52">
        <f>$B$3*A465^2</f>
        <v/>
      </c>
      <c r="C465" s="52">
        <f>IF($B$4=3,IF(B465&lt;=0.5,1,(1-B465)/B465),IF($B$4=4,IF(B465&lt;=1/3,1,(-B465+SQRT(4*B465-3*B465^2))/(2*B465)),1))</f>
        <v/>
      </c>
      <c r="D465" s="51">
        <f>IF(A465&gt;$B$6+0.0000001,1E+30,$B$5*IF($B$4=3,1.5*(1-C465)^3,IF($B$4=4,2*(1-C465)^4+6*C465*(1-C465)^3,0)))</f>
        <v/>
      </c>
    </row>
    <row r="466">
      <c r="A466" s="51" t="n">
        <v>0.457</v>
      </c>
      <c r="B466" s="52">
        <f>$B$3*A466^2</f>
        <v/>
      </c>
      <c r="C466" s="52">
        <f>IF($B$4=3,IF(B466&lt;=0.5,1,(1-B466)/B466),IF($B$4=4,IF(B466&lt;=1/3,1,(-B466+SQRT(4*B466-3*B466^2))/(2*B466)),1))</f>
        <v/>
      </c>
      <c r="D466" s="51">
        <f>IF(A466&gt;$B$6+0.0000001,1E+30,$B$5*IF($B$4=3,1.5*(1-C466)^3,IF($B$4=4,2*(1-C466)^4+6*C466*(1-C466)^3,0)))</f>
        <v/>
      </c>
    </row>
    <row r="467">
      <c r="A467" s="51" t="n">
        <v>0.458</v>
      </c>
      <c r="B467" s="52">
        <f>$B$3*A467^2</f>
        <v/>
      </c>
      <c r="C467" s="52">
        <f>IF($B$4=3,IF(B467&lt;=0.5,1,(1-B467)/B467),IF($B$4=4,IF(B467&lt;=1/3,1,(-B467+SQRT(4*B467-3*B467^2))/(2*B467)),1))</f>
        <v/>
      </c>
      <c r="D467" s="51">
        <f>IF(A467&gt;$B$6+0.0000001,1E+30,$B$5*IF($B$4=3,1.5*(1-C467)^3,IF($B$4=4,2*(1-C467)^4+6*C467*(1-C467)^3,0)))</f>
        <v/>
      </c>
    </row>
    <row r="468">
      <c r="A468" s="51" t="n">
        <v>0.459</v>
      </c>
      <c r="B468" s="52">
        <f>$B$3*A468^2</f>
        <v/>
      </c>
      <c r="C468" s="52">
        <f>IF($B$4=3,IF(B468&lt;=0.5,1,(1-B468)/B468),IF($B$4=4,IF(B468&lt;=1/3,1,(-B468+SQRT(4*B468-3*B468^2))/(2*B468)),1))</f>
        <v/>
      </c>
      <c r="D468" s="51">
        <f>IF(A468&gt;$B$6+0.0000001,1E+30,$B$5*IF($B$4=3,1.5*(1-C468)^3,IF($B$4=4,2*(1-C468)^4+6*C468*(1-C468)^3,0)))</f>
        <v/>
      </c>
    </row>
    <row r="469">
      <c r="A469" s="51" t="n">
        <v>0.46</v>
      </c>
      <c r="B469" s="52">
        <f>$B$3*A469^2</f>
        <v/>
      </c>
      <c r="C469" s="52">
        <f>IF($B$4=3,IF(B469&lt;=0.5,1,(1-B469)/B469),IF($B$4=4,IF(B469&lt;=1/3,1,(-B469+SQRT(4*B469-3*B469^2))/(2*B469)),1))</f>
        <v/>
      </c>
      <c r="D469" s="51">
        <f>IF(A469&gt;$B$6+0.0000001,1E+30,$B$5*IF($B$4=3,1.5*(1-C469)^3,IF($B$4=4,2*(1-C469)^4+6*C469*(1-C469)^3,0)))</f>
        <v/>
      </c>
    </row>
    <row r="470">
      <c r="A470" s="51" t="n">
        <v>0.461</v>
      </c>
      <c r="B470" s="52">
        <f>$B$3*A470^2</f>
        <v/>
      </c>
      <c r="C470" s="52">
        <f>IF($B$4=3,IF(B470&lt;=0.5,1,(1-B470)/B470),IF($B$4=4,IF(B470&lt;=1/3,1,(-B470+SQRT(4*B470-3*B470^2))/(2*B470)),1))</f>
        <v/>
      </c>
      <c r="D470" s="51">
        <f>IF(A470&gt;$B$6+0.0000001,1E+30,$B$5*IF($B$4=3,1.5*(1-C470)^3,IF($B$4=4,2*(1-C470)^4+6*C470*(1-C470)^3,0)))</f>
        <v/>
      </c>
    </row>
    <row r="471">
      <c r="A471" s="51" t="n">
        <v>0.462</v>
      </c>
      <c r="B471" s="52">
        <f>$B$3*A471^2</f>
        <v/>
      </c>
      <c r="C471" s="52">
        <f>IF($B$4=3,IF(B471&lt;=0.5,1,(1-B471)/B471),IF($B$4=4,IF(B471&lt;=1/3,1,(-B471+SQRT(4*B471-3*B471^2))/(2*B471)),1))</f>
        <v/>
      </c>
      <c r="D471" s="51">
        <f>IF(A471&gt;$B$6+0.0000001,1E+30,$B$5*IF($B$4=3,1.5*(1-C471)^3,IF($B$4=4,2*(1-C471)^4+6*C471*(1-C471)^3,0)))</f>
        <v/>
      </c>
    </row>
    <row r="472">
      <c r="A472" s="51" t="n">
        <v>0.463</v>
      </c>
      <c r="B472" s="52">
        <f>$B$3*A472^2</f>
        <v/>
      </c>
      <c r="C472" s="52">
        <f>IF($B$4=3,IF(B472&lt;=0.5,1,(1-B472)/B472),IF($B$4=4,IF(B472&lt;=1/3,1,(-B472+SQRT(4*B472-3*B472^2))/(2*B472)),1))</f>
        <v/>
      </c>
      <c r="D472" s="51">
        <f>IF(A472&gt;$B$6+0.0000001,1E+30,$B$5*IF($B$4=3,1.5*(1-C472)^3,IF($B$4=4,2*(1-C472)^4+6*C472*(1-C472)^3,0)))</f>
        <v/>
      </c>
    </row>
    <row r="473">
      <c r="A473" s="51" t="n">
        <v>0.464</v>
      </c>
      <c r="B473" s="52">
        <f>$B$3*A473^2</f>
        <v/>
      </c>
      <c r="C473" s="52">
        <f>IF($B$4=3,IF(B473&lt;=0.5,1,(1-B473)/B473),IF($B$4=4,IF(B473&lt;=1/3,1,(-B473+SQRT(4*B473-3*B473^2))/(2*B473)),1))</f>
        <v/>
      </c>
      <c r="D473" s="51">
        <f>IF(A473&gt;$B$6+0.0000001,1E+30,$B$5*IF($B$4=3,1.5*(1-C473)^3,IF($B$4=4,2*(1-C473)^4+6*C473*(1-C473)^3,0)))</f>
        <v/>
      </c>
    </row>
    <row r="474">
      <c r="A474" s="51" t="n">
        <v>0.465</v>
      </c>
      <c r="B474" s="52">
        <f>$B$3*A474^2</f>
        <v/>
      </c>
      <c r="C474" s="52">
        <f>IF($B$4=3,IF(B474&lt;=0.5,1,(1-B474)/B474),IF($B$4=4,IF(B474&lt;=1/3,1,(-B474+SQRT(4*B474-3*B474^2))/(2*B474)),1))</f>
        <v/>
      </c>
      <c r="D474" s="51">
        <f>IF(A474&gt;$B$6+0.0000001,1E+30,$B$5*IF($B$4=3,1.5*(1-C474)^3,IF($B$4=4,2*(1-C474)^4+6*C474*(1-C474)^3,0)))</f>
        <v/>
      </c>
    </row>
    <row r="475">
      <c r="A475" s="51" t="n">
        <v>0.466</v>
      </c>
      <c r="B475" s="52">
        <f>$B$3*A475^2</f>
        <v/>
      </c>
      <c r="C475" s="52">
        <f>IF($B$4=3,IF(B475&lt;=0.5,1,(1-B475)/B475),IF($B$4=4,IF(B475&lt;=1/3,1,(-B475+SQRT(4*B475-3*B475^2))/(2*B475)),1))</f>
        <v/>
      </c>
      <c r="D475" s="51">
        <f>IF(A475&gt;$B$6+0.0000001,1E+30,$B$5*IF($B$4=3,1.5*(1-C475)^3,IF($B$4=4,2*(1-C475)^4+6*C475*(1-C475)^3,0)))</f>
        <v/>
      </c>
    </row>
    <row r="476">
      <c r="A476" s="51" t="n">
        <v>0.467</v>
      </c>
      <c r="B476" s="52">
        <f>$B$3*A476^2</f>
        <v/>
      </c>
      <c r="C476" s="52">
        <f>IF($B$4=3,IF(B476&lt;=0.5,1,(1-B476)/B476),IF($B$4=4,IF(B476&lt;=1/3,1,(-B476+SQRT(4*B476-3*B476^2))/(2*B476)),1))</f>
        <v/>
      </c>
      <c r="D476" s="51">
        <f>IF(A476&gt;$B$6+0.0000001,1E+30,$B$5*IF($B$4=3,1.5*(1-C476)^3,IF($B$4=4,2*(1-C476)^4+6*C476*(1-C476)^3,0)))</f>
        <v/>
      </c>
    </row>
    <row r="477">
      <c r="A477" s="51" t="n">
        <v>0.468</v>
      </c>
      <c r="B477" s="52">
        <f>$B$3*A477^2</f>
        <v/>
      </c>
      <c r="C477" s="52">
        <f>IF($B$4=3,IF(B477&lt;=0.5,1,(1-B477)/B477),IF($B$4=4,IF(B477&lt;=1/3,1,(-B477+SQRT(4*B477-3*B477^2))/(2*B477)),1))</f>
        <v/>
      </c>
      <c r="D477" s="51">
        <f>IF(A477&gt;$B$6+0.0000001,1E+30,$B$5*IF($B$4=3,1.5*(1-C477)^3,IF($B$4=4,2*(1-C477)^4+6*C477*(1-C477)^3,0)))</f>
        <v/>
      </c>
    </row>
    <row r="478">
      <c r="A478" s="51" t="n">
        <v>0.469</v>
      </c>
      <c r="B478" s="52">
        <f>$B$3*A478^2</f>
        <v/>
      </c>
      <c r="C478" s="52">
        <f>IF($B$4=3,IF(B478&lt;=0.5,1,(1-B478)/B478),IF($B$4=4,IF(B478&lt;=1/3,1,(-B478+SQRT(4*B478-3*B478^2))/(2*B478)),1))</f>
        <v/>
      </c>
      <c r="D478" s="51">
        <f>IF(A478&gt;$B$6+0.0000001,1E+30,$B$5*IF($B$4=3,1.5*(1-C478)^3,IF($B$4=4,2*(1-C478)^4+6*C478*(1-C478)^3,0)))</f>
        <v/>
      </c>
    </row>
    <row r="479">
      <c r="A479" s="51" t="n">
        <v>0.47</v>
      </c>
      <c r="B479" s="52">
        <f>$B$3*A479^2</f>
        <v/>
      </c>
      <c r="C479" s="52">
        <f>IF($B$4=3,IF(B479&lt;=0.5,1,(1-B479)/B479),IF($B$4=4,IF(B479&lt;=1/3,1,(-B479+SQRT(4*B479-3*B479^2))/(2*B479)),1))</f>
        <v/>
      </c>
      <c r="D479" s="51">
        <f>IF(A479&gt;$B$6+0.0000001,1E+30,$B$5*IF($B$4=3,1.5*(1-C479)^3,IF($B$4=4,2*(1-C479)^4+6*C479*(1-C479)^3,0)))</f>
        <v/>
      </c>
    </row>
    <row r="480">
      <c r="A480" s="51" t="n">
        <v>0.471</v>
      </c>
      <c r="B480" s="52">
        <f>$B$3*A480^2</f>
        <v/>
      </c>
      <c r="C480" s="52">
        <f>IF($B$4=3,IF(B480&lt;=0.5,1,(1-B480)/B480),IF($B$4=4,IF(B480&lt;=1/3,1,(-B480+SQRT(4*B480-3*B480^2))/(2*B480)),1))</f>
        <v/>
      </c>
      <c r="D480" s="51">
        <f>IF(A480&gt;$B$6+0.0000001,1E+30,$B$5*IF($B$4=3,1.5*(1-C480)^3,IF($B$4=4,2*(1-C480)^4+6*C480*(1-C480)^3,0)))</f>
        <v/>
      </c>
    </row>
    <row r="481">
      <c r="A481" s="51" t="n">
        <v>0.472</v>
      </c>
      <c r="B481" s="52">
        <f>$B$3*A481^2</f>
        <v/>
      </c>
      <c r="C481" s="52">
        <f>IF($B$4=3,IF(B481&lt;=0.5,1,(1-B481)/B481),IF($B$4=4,IF(B481&lt;=1/3,1,(-B481+SQRT(4*B481-3*B481^2))/(2*B481)),1))</f>
        <v/>
      </c>
      <c r="D481" s="51">
        <f>IF(A481&gt;$B$6+0.0000001,1E+30,$B$5*IF($B$4=3,1.5*(1-C481)^3,IF($B$4=4,2*(1-C481)^4+6*C481*(1-C481)^3,0)))</f>
        <v/>
      </c>
    </row>
    <row r="482">
      <c r="A482" s="51" t="n">
        <v>0.473</v>
      </c>
      <c r="B482" s="52">
        <f>$B$3*A482^2</f>
        <v/>
      </c>
      <c r="C482" s="52">
        <f>IF($B$4=3,IF(B482&lt;=0.5,1,(1-B482)/B482),IF($B$4=4,IF(B482&lt;=1/3,1,(-B482+SQRT(4*B482-3*B482^2))/(2*B482)),1))</f>
        <v/>
      </c>
      <c r="D482" s="51">
        <f>IF(A482&gt;$B$6+0.0000001,1E+30,$B$5*IF($B$4=3,1.5*(1-C482)^3,IF($B$4=4,2*(1-C482)^4+6*C482*(1-C482)^3,0)))</f>
        <v/>
      </c>
    </row>
    <row r="483">
      <c r="A483" s="51" t="n">
        <v>0.474</v>
      </c>
      <c r="B483" s="52">
        <f>$B$3*A483^2</f>
        <v/>
      </c>
      <c r="C483" s="52">
        <f>IF($B$4=3,IF(B483&lt;=0.5,1,(1-B483)/B483),IF($B$4=4,IF(B483&lt;=1/3,1,(-B483+SQRT(4*B483-3*B483^2))/(2*B483)),1))</f>
        <v/>
      </c>
      <c r="D483" s="51">
        <f>IF(A483&gt;$B$6+0.0000001,1E+30,$B$5*IF($B$4=3,1.5*(1-C483)^3,IF($B$4=4,2*(1-C483)^4+6*C483*(1-C483)^3,0)))</f>
        <v/>
      </c>
    </row>
    <row r="484">
      <c r="A484" s="51" t="n">
        <v>0.475</v>
      </c>
      <c r="B484" s="52">
        <f>$B$3*A484^2</f>
        <v/>
      </c>
      <c r="C484" s="52">
        <f>IF($B$4=3,IF(B484&lt;=0.5,1,(1-B484)/B484),IF($B$4=4,IF(B484&lt;=1/3,1,(-B484+SQRT(4*B484-3*B484^2))/(2*B484)),1))</f>
        <v/>
      </c>
      <c r="D484" s="51">
        <f>IF(A484&gt;$B$6+0.0000001,1E+30,$B$5*IF($B$4=3,1.5*(1-C484)^3,IF($B$4=4,2*(1-C484)^4+6*C484*(1-C484)^3,0)))</f>
        <v/>
      </c>
    </row>
    <row r="485">
      <c r="A485" s="51" t="n">
        <v>0.476</v>
      </c>
      <c r="B485" s="52">
        <f>$B$3*A485^2</f>
        <v/>
      </c>
      <c r="C485" s="52">
        <f>IF($B$4=3,IF(B485&lt;=0.5,1,(1-B485)/B485),IF($B$4=4,IF(B485&lt;=1/3,1,(-B485+SQRT(4*B485-3*B485^2))/(2*B485)),1))</f>
        <v/>
      </c>
      <c r="D485" s="51">
        <f>IF(A485&gt;$B$6+0.0000001,1E+30,$B$5*IF($B$4=3,1.5*(1-C485)^3,IF($B$4=4,2*(1-C485)^4+6*C485*(1-C485)^3,0)))</f>
        <v/>
      </c>
    </row>
    <row r="486">
      <c r="A486" s="51" t="n">
        <v>0.477</v>
      </c>
      <c r="B486" s="52">
        <f>$B$3*A486^2</f>
        <v/>
      </c>
      <c r="C486" s="52">
        <f>IF($B$4=3,IF(B486&lt;=0.5,1,(1-B486)/B486),IF($B$4=4,IF(B486&lt;=1/3,1,(-B486+SQRT(4*B486-3*B486^2))/(2*B486)),1))</f>
        <v/>
      </c>
      <c r="D486" s="51">
        <f>IF(A486&gt;$B$6+0.0000001,1E+30,$B$5*IF($B$4=3,1.5*(1-C486)^3,IF($B$4=4,2*(1-C486)^4+6*C486*(1-C486)^3,0)))</f>
        <v/>
      </c>
    </row>
    <row r="487">
      <c r="A487" s="51" t="n">
        <v>0.478</v>
      </c>
      <c r="B487" s="52">
        <f>$B$3*A487^2</f>
        <v/>
      </c>
      <c r="C487" s="52">
        <f>IF($B$4=3,IF(B487&lt;=0.5,1,(1-B487)/B487),IF($B$4=4,IF(B487&lt;=1/3,1,(-B487+SQRT(4*B487-3*B487^2))/(2*B487)),1))</f>
        <v/>
      </c>
      <c r="D487" s="51">
        <f>IF(A487&gt;$B$6+0.0000001,1E+30,$B$5*IF($B$4=3,1.5*(1-C487)^3,IF($B$4=4,2*(1-C487)^4+6*C487*(1-C487)^3,0)))</f>
        <v/>
      </c>
    </row>
    <row r="488">
      <c r="A488" s="51" t="n">
        <v>0.479</v>
      </c>
      <c r="B488" s="52">
        <f>$B$3*A488^2</f>
        <v/>
      </c>
      <c r="C488" s="52">
        <f>IF($B$4=3,IF(B488&lt;=0.5,1,(1-B488)/B488),IF($B$4=4,IF(B488&lt;=1/3,1,(-B488+SQRT(4*B488-3*B488^2))/(2*B488)),1))</f>
        <v/>
      </c>
      <c r="D488" s="51">
        <f>IF(A488&gt;$B$6+0.0000001,1E+30,$B$5*IF($B$4=3,1.5*(1-C488)^3,IF($B$4=4,2*(1-C488)^4+6*C488*(1-C488)^3,0)))</f>
        <v/>
      </c>
    </row>
    <row r="489">
      <c r="A489" s="51" t="n">
        <v>0.48</v>
      </c>
      <c r="B489" s="52">
        <f>$B$3*A489^2</f>
        <v/>
      </c>
      <c r="C489" s="52">
        <f>IF($B$4=3,IF(B489&lt;=0.5,1,(1-B489)/B489),IF($B$4=4,IF(B489&lt;=1/3,1,(-B489+SQRT(4*B489-3*B489^2))/(2*B489)),1))</f>
        <v/>
      </c>
      <c r="D489" s="51">
        <f>IF(A489&gt;$B$6+0.0000001,1E+30,$B$5*IF($B$4=3,1.5*(1-C489)^3,IF($B$4=4,2*(1-C489)^4+6*C489*(1-C489)^3,0)))</f>
        <v/>
      </c>
    </row>
    <row r="490">
      <c r="A490" s="51" t="n">
        <v>0.481</v>
      </c>
      <c r="B490" s="52">
        <f>$B$3*A490^2</f>
        <v/>
      </c>
      <c r="C490" s="52">
        <f>IF($B$4=3,IF(B490&lt;=0.5,1,(1-B490)/B490),IF($B$4=4,IF(B490&lt;=1/3,1,(-B490+SQRT(4*B490-3*B490^2))/(2*B490)),1))</f>
        <v/>
      </c>
      <c r="D490" s="51">
        <f>IF(A490&gt;$B$6+0.0000001,1E+30,$B$5*IF($B$4=3,1.5*(1-C490)^3,IF($B$4=4,2*(1-C490)^4+6*C490*(1-C490)^3,0)))</f>
        <v/>
      </c>
    </row>
    <row r="491">
      <c r="A491" s="51" t="n">
        <v>0.482</v>
      </c>
      <c r="B491" s="52">
        <f>$B$3*A491^2</f>
        <v/>
      </c>
      <c r="C491" s="52">
        <f>IF($B$4=3,IF(B491&lt;=0.5,1,(1-B491)/B491),IF($B$4=4,IF(B491&lt;=1/3,1,(-B491+SQRT(4*B491-3*B491^2))/(2*B491)),1))</f>
        <v/>
      </c>
      <c r="D491" s="51">
        <f>IF(A491&gt;$B$6+0.0000001,1E+30,$B$5*IF($B$4=3,1.5*(1-C491)^3,IF($B$4=4,2*(1-C491)^4+6*C491*(1-C491)^3,0)))</f>
        <v/>
      </c>
    </row>
    <row r="492">
      <c r="A492" s="51" t="n">
        <v>0.483</v>
      </c>
      <c r="B492" s="52">
        <f>$B$3*A492^2</f>
        <v/>
      </c>
      <c r="C492" s="52">
        <f>IF($B$4=3,IF(B492&lt;=0.5,1,(1-B492)/B492),IF($B$4=4,IF(B492&lt;=1/3,1,(-B492+SQRT(4*B492-3*B492^2))/(2*B492)),1))</f>
        <v/>
      </c>
      <c r="D492" s="51">
        <f>IF(A492&gt;$B$6+0.0000001,1E+30,$B$5*IF($B$4=3,1.5*(1-C492)^3,IF($B$4=4,2*(1-C492)^4+6*C492*(1-C492)^3,0)))</f>
        <v/>
      </c>
    </row>
    <row r="493">
      <c r="A493" s="51" t="n">
        <v>0.484</v>
      </c>
      <c r="B493" s="52">
        <f>$B$3*A493^2</f>
        <v/>
      </c>
      <c r="C493" s="52">
        <f>IF($B$4=3,IF(B493&lt;=0.5,1,(1-B493)/B493),IF($B$4=4,IF(B493&lt;=1/3,1,(-B493+SQRT(4*B493-3*B493^2))/(2*B493)),1))</f>
        <v/>
      </c>
      <c r="D493" s="51">
        <f>IF(A493&gt;$B$6+0.0000001,1E+30,$B$5*IF($B$4=3,1.5*(1-C493)^3,IF($B$4=4,2*(1-C493)^4+6*C493*(1-C493)^3,0)))</f>
        <v/>
      </c>
    </row>
    <row r="494">
      <c r="A494" s="51" t="n">
        <v>0.485</v>
      </c>
      <c r="B494" s="52">
        <f>$B$3*A494^2</f>
        <v/>
      </c>
      <c r="C494" s="52">
        <f>IF($B$4=3,IF(B494&lt;=0.5,1,(1-B494)/B494),IF($B$4=4,IF(B494&lt;=1/3,1,(-B494+SQRT(4*B494-3*B494^2))/(2*B494)),1))</f>
        <v/>
      </c>
      <c r="D494" s="51">
        <f>IF(A494&gt;$B$6+0.0000001,1E+30,$B$5*IF($B$4=3,1.5*(1-C494)^3,IF($B$4=4,2*(1-C494)^4+6*C494*(1-C494)^3,0)))</f>
        <v/>
      </c>
    </row>
    <row r="495">
      <c r="A495" s="51" t="n">
        <v>0.486</v>
      </c>
      <c r="B495" s="52">
        <f>$B$3*A495^2</f>
        <v/>
      </c>
      <c r="C495" s="52">
        <f>IF($B$4=3,IF(B495&lt;=0.5,1,(1-B495)/B495),IF($B$4=4,IF(B495&lt;=1/3,1,(-B495+SQRT(4*B495-3*B495^2))/(2*B495)),1))</f>
        <v/>
      </c>
      <c r="D495" s="51">
        <f>IF(A495&gt;$B$6+0.0000001,1E+30,$B$5*IF($B$4=3,1.5*(1-C495)^3,IF($B$4=4,2*(1-C495)^4+6*C495*(1-C495)^3,0)))</f>
        <v/>
      </c>
    </row>
    <row r="496">
      <c r="A496" s="51" t="n">
        <v>0.487</v>
      </c>
      <c r="B496" s="52">
        <f>$B$3*A496^2</f>
        <v/>
      </c>
      <c r="C496" s="52">
        <f>IF($B$4=3,IF(B496&lt;=0.5,1,(1-B496)/B496),IF($B$4=4,IF(B496&lt;=1/3,1,(-B496+SQRT(4*B496-3*B496^2))/(2*B496)),1))</f>
        <v/>
      </c>
      <c r="D496" s="51">
        <f>IF(A496&gt;$B$6+0.0000001,1E+30,$B$5*IF($B$4=3,1.5*(1-C496)^3,IF($B$4=4,2*(1-C496)^4+6*C496*(1-C496)^3,0)))</f>
        <v/>
      </c>
    </row>
    <row r="497">
      <c r="A497" s="51" t="n">
        <v>0.488</v>
      </c>
      <c r="B497" s="52">
        <f>$B$3*A497^2</f>
        <v/>
      </c>
      <c r="C497" s="52">
        <f>IF($B$4=3,IF(B497&lt;=0.5,1,(1-B497)/B497),IF($B$4=4,IF(B497&lt;=1/3,1,(-B497+SQRT(4*B497-3*B497^2))/(2*B497)),1))</f>
        <v/>
      </c>
      <c r="D497" s="51">
        <f>IF(A497&gt;$B$6+0.0000001,1E+30,$B$5*IF($B$4=3,1.5*(1-C497)^3,IF($B$4=4,2*(1-C497)^4+6*C497*(1-C497)^3,0)))</f>
        <v/>
      </c>
    </row>
    <row r="498">
      <c r="A498" s="51" t="n">
        <v>0.489</v>
      </c>
      <c r="B498" s="52">
        <f>$B$3*A498^2</f>
        <v/>
      </c>
      <c r="C498" s="52">
        <f>IF($B$4=3,IF(B498&lt;=0.5,1,(1-B498)/B498),IF($B$4=4,IF(B498&lt;=1/3,1,(-B498+SQRT(4*B498-3*B498^2))/(2*B498)),1))</f>
        <v/>
      </c>
      <c r="D498" s="51">
        <f>IF(A498&gt;$B$6+0.0000001,1E+30,$B$5*IF($B$4=3,1.5*(1-C498)^3,IF($B$4=4,2*(1-C498)^4+6*C498*(1-C498)^3,0)))</f>
        <v/>
      </c>
    </row>
    <row r="499">
      <c r="A499" s="51" t="n">
        <v>0.49</v>
      </c>
      <c r="B499" s="52">
        <f>$B$3*A499^2</f>
        <v/>
      </c>
      <c r="C499" s="52">
        <f>IF($B$4=3,IF(B499&lt;=0.5,1,(1-B499)/B499),IF($B$4=4,IF(B499&lt;=1/3,1,(-B499+SQRT(4*B499-3*B499^2))/(2*B499)),1))</f>
        <v/>
      </c>
      <c r="D499" s="51">
        <f>IF(A499&gt;$B$6+0.0000001,1E+30,$B$5*IF($B$4=3,1.5*(1-C499)^3,IF($B$4=4,2*(1-C499)^4+6*C499*(1-C499)^3,0)))</f>
        <v/>
      </c>
    </row>
    <row r="500">
      <c r="A500" s="51" t="n">
        <v>0.491</v>
      </c>
      <c r="B500" s="52">
        <f>$B$3*A500^2</f>
        <v/>
      </c>
      <c r="C500" s="52">
        <f>IF($B$4=3,IF(B500&lt;=0.5,1,(1-B500)/B500),IF($B$4=4,IF(B500&lt;=1/3,1,(-B500+SQRT(4*B500-3*B500^2))/(2*B500)),1))</f>
        <v/>
      </c>
      <c r="D500" s="51">
        <f>IF(A500&gt;$B$6+0.0000001,1E+30,$B$5*IF($B$4=3,1.5*(1-C500)^3,IF($B$4=4,2*(1-C500)^4+6*C500*(1-C500)^3,0)))</f>
        <v/>
      </c>
    </row>
    <row r="501">
      <c r="A501" s="51" t="n">
        <v>0.492</v>
      </c>
      <c r="B501" s="52">
        <f>$B$3*A501^2</f>
        <v/>
      </c>
      <c r="C501" s="52">
        <f>IF($B$4=3,IF(B501&lt;=0.5,1,(1-B501)/B501),IF($B$4=4,IF(B501&lt;=1/3,1,(-B501+SQRT(4*B501-3*B501^2))/(2*B501)),1))</f>
        <v/>
      </c>
      <c r="D501" s="51">
        <f>IF(A501&gt;$B$6+0.0000001,1E+30,$B$5*IF($B$4=3,1.5*(1-C501)^3,IF($B$4=4,2*(1-C501)^4+6*C501*(1-C501)^3,0)))</f>
        <v/>
      </c>
    </row>
    <row r="502">
      <c r="A502" s="51" t="n">
        <v>0.493</v>
      </c>
      <c r="B502" s="52">
        <f>$B$3*A502^2</f>
        <v/>
      </c>
      <c r="C502" s="52">
        <f>IF($B$4=3,IF(B502&lt;=0.5,1,(1-B502)/B502),IF($B$4=4,IF(B502&lt;=1/3,1,(-B502+SQRT(4*B502-3*B502^2))/(2*B502)),1))</f>
        <v/>
      </c>
      <c r="D502" s="51">
        <f>IF(A502&gt;$B$6+0.0000001,1E+30,$B$5*IF($B$4=3,1.5*(1-C502)^3,IF($B$4=4,2*(1-C502)^4+6*C502*(1-C502)^3,0)))</f>
        <v/>
      </c>
    </row>
    <row r="503">
      <c r="A503" s="51" t="n">
        <v>0.494</v>
      </c>
      <c r="B503" s="52">
        <f>$B$3*A503^2</f>
        <v/>
      </c>
      <c r="C503" s="52">
        <f>IF($B$4=3,IF(B503&lt;=0.5,1,(1-B503)/B503),IF($B$4=4,IF(B503&lt;=1/3,1,(-B503+SQRT(4*B503-3*B503^2))/(2*B503)),1))</f>
        <v/>
      </c>
      <c r="D503" s="51">
        <f>IF(A503&gt;$B$6+0.0000001,1E+30,$B$5*IF($B$4=3,1.5*(1-C503)^3,IF($B$4=4,2*(1-C503)^4+6*C503*(1-C503)^3,0)))</f>
        <v/>
      </c>
    </row>
    <row r="504">
      <c r="A504" s="51" t="n">
        <v>0.495</v>
      </c>
      <c r="B504" s="52">
        <f>$B$3*A504^2</f>
        <v/>
      </c>
      <c r="C504" s="52">
        <f>IF($B$4=3,IF(B504&lt;=0.5,1,(1-B504)/B504),IF($B$4=4,IF(B504&lt;=1/3,1,(-B504+SQRT(4*B504-3*B504^2))/(2*B504)),1))</f>
        <v/>
      </c>
      <c r="D504" s="51">
        <f>IF(A504&gt;$B$6+0.0000001,1E+30,$B$5*IF($B$4=3,1.5*(1-C504)^3,IF($B$4=4,2*(1-C504)^4+6*C504*(1-C504)^3,0)))</f>
        <v/>
      </c>
    </row>
    <row r="505">
      <c r="A505" s="51" t="n">
        <v>0.496</v>
      </c>
      <c r="B505" s="52">
        <f>$B$3*A505^2</f>
        <v/>
      </c>
      <c r="C505" s="52">
        <f>IF($B$4=3,IF(B505&lt;=0.5,1,(1-B505)/B505),IF($B$4=4,IF(B505&lt;=1/3,1,(-B505+SQRT(4*B505-3*B505^2))/(2*B505)),1))</f>
        <v/>
      </c>
      <c r="D505" s="51">
        <f>IF(A505&gt;$B$6+0.0000001,1E+30,$B$5*IF($B$4=3,1.5*(1-C505)^3,IF($B$4=4,2*(1-C505)^4+6*C505*(1-C505)^3,0)))</f>
        <v/>
      </c>
    </row>
    <row r="506">
      <c r="A506" s="51" t="n">
        <v>0.497</v>
      </c>
      <c r="B506" s="52">
        <f>$B$3*A506^2</f>
        <v/>
      </c>
      <c r="C506" s="52">
        <f>IF($B$4=3,IF(B506&lt;=0.5,1,(1-B506)/B506),IF($B$4=4,IF(B506&lt;=1/3,1,(-B506+SQRT(4*B506-3*B506^2))/(2*B506)),1))</f>
        <v/>
      </c>
      <c r="D506" s="51">
        <f>IF(A506&gt;$B$6+0.0000001,1E+30,$B$5*IF($B$4=3,1.5*(1-C506)^3,IF($B$4=4,2*(1-C506)^4+6*C506*(1-C506)^3,0)))</f>
        <v/>
      </c>
    </row>
    <row r="507">
      <c r="A507" s="51" t="n">
        <v>0.498</v>
      </c>
      <c r="B507" s="52">
        <f>$B$3*A507^2</f>
        <v/>
      </c>
      <c r="C507" s="52">
        <f>IF($B$4=3,IF(B507&lt;=0.5,1,(1-B507)/B507),IF($B$4=4,IF(B507&lt;=1/3,1,(-B507+SQRT(4*B507-3*B507^2))/(2*B507)),1))</f>
        <v/>
      </c>
      <c r="D507" s="51">
        <f>IF(A507&gt;$B$6+0.0000001,1E+30,$B$5*IF($B$4=3,1.5*(1-C507)^3,IF($B$4=4,2*(1-C507)^4+6*C507*(1-C507)^3,0)))</f>
        <v/>
      </c>
    </row>
    <row r="508">
      <c r="A508" s="51" t="n">
        <v>0.499</v>
      </c>
      <c r="B508" s="52">
        <f>$B$3*A508^2</f>
        <v/>
      </c>
      <c r="C508" s="52">
        <f>IF($B$4=3,IF(B508&lt;=0.5,1,(1-B508)/B508),IF($B$4=4,IF(B508&lt;=1/3,1,(-B508+SQRT(4*B508-3*B508^2))/(2*B508)),1))</f>
        <v/>
      </c>
      <c r="D508" s="51">
        <f>IF(A508&gt;$B$6+0.0000001,1E+30,$B$5*IF($B$4=3,1.5*(1-C508)^3,IF($B$4=4,2*(1-C508)^4+6*C508*(1-C508)^3,0)))</f>
        <v/>
      </c>
    </row>
    <row r="509">
      <c r="A509" s="51" t="n">
        <v>0.5</v>
      </c>
      <c r="B509" s="52">
        <f>$B$3*A509^2</f>
        <v/>
      </c>
      <c r="C509" s="52">
        <f>IF($B$4=3,IF(B509&lt;=0.5,1,(1-B509)/B509),IF($B$4=4,IF(B509&lt;=1/3,1,(-B509+SQRT(4*B509-3*B509^2))/(2*B509)),1))</f>
        <v/>
      </c>
      <c r="D509" s="51">
        <f>IF(A509&gt;$B$6+0.0000001,1E+30,$B$5*IF($B$4=3,1.5*(1-C509)^3,IF($B$4=4,2*(1-C509)^4+6*C509*(1-C509)^3,0)))</f>
        <v/>
      </c>
    </row>
    <row r="510">
      <c r="A510" s="51" t="n">
        <v>0.501</v>
      </c>
      <c r="B510" s="52">
        <f>$B$3*A510^2</f>
        <v/>
      </c>
      <c r="C510" s="52">
        <f>IF($B$4=3,IF(B510&lt;=0.5,1,(1-B510)/B510),IF($B$4=4,IF(B510&lt;=1/3,1,(-B510+SQRT(4*B510-3*B510^2))/(2*B510)),1))</f>
        <v/>
      </c>
      <c r="D510" s="51">
        <f>IF(A510&gt;$B$6+0.0000001,1E+30,$B$5*IF($B$4=3,1.5*(1-C510)^3,IF($B$4=4,2*(1-C510)^4+6*C510*(1-C510)^3,0)))</f>
        <v/>
      </c>
    </row>
    <row r="511">
      <c r="A511" s="51" t="n">
        <v>0.502</v>
      </c>
      <c r="B511" s="52">
        <f>$B$3*A511^2</f>
        <v/>
      </c>
      <c r="C511" s="52">
        <f>IF($B$4=3,IF(B511&lt;=0.5,1,(1-B511)/B511),IF($B$4=4,IF(B511&lt;=1/3,1,(-B511+SQRT(4*B511-3*B511^2))/(2*B511)),1))</f>
        <v/>
      </c>
      <c r="D511" s="51">
        <f>IF(A511&gt;$B$6+0.0000001,1E+30,$B$5*IF($B$4=3,1.5*(1-C511)^3,IF($B$4=4,2*(1-C511)^4+6*C511*(1-C511)^3,0)))</f>
        <v/>
      </c>
    </row>
    <row r="512">
      <c r="A512" s="51" t="n">
        <v>0.503</v>
      </c>
      <c r="B512" s="52">
        <f>$B$3*A512^2</f>
        <v/>
      </c>
      <c r="C512" s="52">
        <f>IF($B$4=3,IF(B512&lt;=0.5,1,(1-B512)/B512),IF($B$4=4,IF(B512&lt;=1/3,1,(-B512+SQRT(4*B512-3*B512^2))/(2*B512)),1))</f>
        <v/>
      </c>
      <c r="D512" s="51">
        <f>IF(A512&gt;$B$6+0.0000001,1E+30,$B$5*IF($B$4=3,1.5*(1-C512)^3,IF($B$4=4,2*(1-C512)^4+6*C512*(1-C512)^3,0)))</f>
        <v/>
      </c>
    </row>
    <row r="513">
      <c r="A513" s="51" t="n">
        <v>0.504</v>
      </c>
      <c r="B513" s="52">
        <f>$B$3*A513^2</f>
        <v/>
      </c>
      <c r="C513" s="52">
        <f>IF($B$4=3,IF(B513&lt;=0.5,1,(1-B513)/B513),IF($B$4=4,IF(B513&lt;=1/3,1,(-B513+SQRT(4*B513-3*B513^2))/(2*B513)),1))</f>
        <v/>
      </c>
      <c r="D513" s="51">
        <f>IF(A513&gt;$B$6+0.0000001,1E+30,$B$5*IF($B$4=3,1.5*(1-C513)^3,IF($B$4=4,2*(1-C513)^4+6*C513*(1-C513)^3,0)))</f>
        <v/>
      </c>
    </row>
    <row r="514">
      <c r="A514" s="51" t="n">
        <v>0.505</v>
      </c>
      <c r="B514" s="52">
        <f>$B$3*A514^2</f>
        <v/>
      </c>
      <c r="C514" s="52">
        <f>IF($B$4=3,IF(B514&lt;=0.5,1,(1-B514)/B514),IF($B$4=4,IF(B514&lt;=1/3,1,(-B514+SQRT(4*B514-3*B514^2))/(2*B514)),1))</f>
        <v/>
      </c>
      <c r="D514" s="51">
        <f>IF(A514&gt;$B$6+0.0000001,1E+30,$B$5*IF($B$4=3,1.5*(1-C514)^3,IF($B$4=4,2*(1-C514)^4+6*C514*(1-C514)^3,0)))</f>
        <v/>
      </c>
    </row>
    <row r="515">
      <c r="A515" s="51" t="n">
        <v>0.506</v>
      </c>
      <c r="B515" s="52">
        <f>$B$3*A515^2</f>
        <v/>
      </c>
      <c r="C515" s="52">
        <f>IF($B$4=3,IF(B515&lt;=0.5,1,(1-B515)/B515),IF($B$4=4,IF(B515&lt;=1/3,1,(-B515+SQRT(4*B515-3*B515^2))/(2*B515)),1))</f>
        <v/>
      </c>
      <c r="D515" s="51">
        <f>IF(A515&gt;$B$6+0.0000001,1E+30,$B$5*IF($B$4=3,1.5*(1-C515)^3,IF($B$4=4,2*(1-C515)^4+6*C515*(1-C515)^3,0)))</f>
        <v/>
      </c>
    </row>
    <row r="516">
      <c r="A516" s="51" t="n">
        <v>0.507</v>
      </c>
      <c r="B516" s="52">
        <f>$B$3*A516^2</f>
        <v/>
      </c>
      <c r="C516" s="52">
        <f>IF($B$4=3,IF(B516&lt;=0.5,1,(1-B516)/B516),IF($B$4=4,IF(B516&lt;=1/3,1,(-B516+SQRT(4*B516-3*B516^2))/(2*B516)),1))</f>
        <v/>
      </c>
      <c r="D516" s="51">
        <f>IF(A516&gt;$B$6+0.0000001,1E+30,$B$5*IF($B$4=3,1.5*(1-C516)^3,IF($B$4=4,2*(1-C516)^4+6*C516*(1-C516)^3,0)))</f>
        <v/>
      </c>
    </row>
    <row r="517">
      <c r="A517" s="51" t="n">
        <v>0.508</v>
      </c>
      <c r="B517" s="52">
        <f>$B$3*A517^2</f>
        <v/>
      </c>
      <c r="C517" s="52">
        <f>IF($B$4=3,IF(B517&lt;=0.5,1,(1-B517)/B517),IF($B$4=4,IF(B517&lt;=1/3,1,(-B517+SQRT(4*B517-3*B517^2))/(2*B517)),1))</f>
        <v/>
      </c>
      <c r="D517" s="51">
        <f>IF(A517&gt;$B$6+0.0000001,1E+30,$B$5*IF($B$4=3,1.5*(1-C517)^3,IF($B$4=4,2*(1-C517)^4+6*C517*(1-C517)^3,0)))</f>
        <v/>
      </c>
    </row>
    <row r="518">
      <c r="A518" s="51" t="n">
        <v>0.509</v>
      </c>
      <c r="B518" s="52">
        <f>$B$3*A518^2</f>
        <v/>
      </c>
      <c r="C518" s="52">
        <f>IF($B$4=3,IF(B518&lt;=0.5,1,(1-B518)/B518),IF($B$4=4,IF(B518&lt;=1/3,1,(-B518+SQRT(4*B518-3*B518^2))/(2*B518)),1))</f>
        <v/>
      </c>
      <c r="D518" s="51">
        <f>IF(A518&gt;$B$6+0.0000001,1E+30,$B$5*IF($B$4=3,1.5*(1-C518)^3,IF($B$4=4,2*(1-C518)^4+6*C518*(1-C518)^3,0)))</f>
        <v/>
      </c>
    </row>
    <row r="519">
      <c r="A519" s="51" t="n">
        <v>0.51</v>
      </c>
      <c r="B519" s="52">
        <f>$B$3*A519^2</f>
        <v/>
      </c>
      <c r="C519" s="52">
        <f>IF($B$4=3,IF(B519&lt;=0.5,1,(1-B519)/B519),IF($B$4=4,IF(B519&lt;=1/3,1,(-B519+SQRT(4*B519-3*B519^2))/(2*B519)),1))</f>
        <v/>
      </c>
      <c r="D519" s="51">
        <f>IF(A519&gt;$B$6+0.0000001,1E+30,$B$5*IF($B$4=3,1.5*(1-C519)^3,IF($B$4=4,2*(1-C519)^4+6*C519*(1-C519)^3,0)))</f>
        <v/>
      </c>
    </row>
    <row r="520">
      <c r="A520" s="51" t="n">
        <v>0.511</v>
      </c>
      <c r="B520" s="52">
        <f>$B$3*A520^2</f>
        <v/>
      </c>
      <c r="C520" s="52">
        <f>IF($B$4=3,IF(B520&lt;=0.5,1,(1-B520)/B520),IF($B$4=4,IF(B520&lt;=1/3,1,(-B520+SQRT(4*B520-3*B520^2))/(2*B520)),1))</f>
        <v/>
      </c>
      <c r="D520" s="51">
        <f>IF(A520&gt;$B$6+0.0000001,1E+30,$B$5*IF($B$4=3,1.5*(1-C520)^3,IF($B$4=4,2*(1-C520)^4+6*C520*(1-C520)^3,0)))</f>
        <v/>
      </c>
    </row>
    <row r="521">
      <c r="A521" s="51" t="n">
        <v>0.512</v>
      </c>
      <c r="B521" s="52">
        <f>$B$3*A521^2</f>
        <v/>
      </c>
      <c r="C521" s="52">
        <f>IF($B$4=3,IF(B521&lt;=0.5,1,(1-B521)/B521),IF($B$4=4,IF(B521&lt;=1/3,1,(-B521+SQRT(4*B521-3*B521^2))/(2*B521)),1))</f>
        <v/>
      </c>
      <c r="D521" s="51">
        <f>IF(A521&gt;$B$6+0.0000001,1E+30,$B$5*IF($B$4=3,1.5*(1-C521)^3,IF($B$4=4,2*(1-C521)^4+6*C521*(1-C521)^3,0)))</f>
        <v/>
      </c>
    </row>
    <row r="522">
      <c r="A522" s="51" t="n">
        <v>0.513</v>
      </c>
      <c r="B522" s="52">
        <f>$B$3*A522^2</f>
        <v/>
      </c>
      <c r="C522" s="52">
        <f>IF($B$4=3,IF(B522&lt;=0.5,1,(1-B522)/B522),IF($B$4=4,IF(B522&lt;=1/3,1,(-B522+SQRT(4*B522-3*B522^2))/(2*B522)),1))</f>
        <v/>
      </c>
      <c r="D522" s="51">
        <f>IF(A522&gt;$B$6+0.0000001,1E+30,$B$5*IF($B$4=3,1.5*(1-C522)^3,IF($B$4=4,2*(1-C522)^4+6*C522*(1-C522)^3,0)))</f>
        <v/>
      </c>
    </row>
    <row r="523">
      <c r="A523" s="51" t="n">
        <v>0.514</v>
      </c>
      <c r="B523" s="52">
        <f>$B$3*A523^2</f>
        <v/>
      </c>
      <c r="C523" s="52">
        <f>IF($B$4=3,IF(B523&lt;=0.5,1,(1-B523)/B523),IF($B$4=4,IF(B523&lt;=1/3,1,(-B523+SQRT(4*B523-3*B523^2))/(2*B523)),1))</f>
        <v/>
      </c>
      <c r="D523" s="51">
        <f>IF(A523&gt;$B$6+0.0000001,1E+30,$B$5*IF($B$4=3,1.5*(1-C523)^3,IF($B$4=4,2*(1-C523)^4+6*C523*(1-C523)^3,0)))</f>
        <v/>
      </c>
    </row>
    <row r="524">
      <c r="A524" s="51" t="n">
        <v>0.515</v>
      </c>
      <c r="B524" s="52">
        <f>$B$3*A524^2</f>
        <v/>
      </c>
      <c r="C524" s="52">
        <f>IF($B$4=3,IF(B524&lt;=0.5,1,(1-B524)/B524),IF($B$4=4,IF(B524&lt;=1/3,1,(-B524+SQRT(4*B524-3*B524^2))/(2*B524)),1))</f>
        <v/>
      </c>
      <c r="D524" s="51">
        <f>IF(A524&gt;$B$6+0.0000001,1E+30,$B$5*IF($B$4=3,1.5*(1-C524)^3,IF($B$4=4,2*(1-C524)^4+6*C524*(1-C524)^3,0)))</f>
        <v/>
      </c>
    </row>
    <row r="525">
      <c r="A525" s="51" t="n">
        <v>0.516</v>
      </c>
      <c r="B525" s="52">
        <f>$B$3*A525^2</f>
        <v/>
      </c>
      <c r="C525" s="52">
        <f>IF($B$4=3,IF(B525&lt;=0.5,1,(1-B525)/B525),IF($B$4=4,IF(B525&lt;=1/3,1,(-B525+SQRT(4*B525-3*B525^2))/(2*B525)),1))</f>
        <v/>
      </c>
      <c r="D525" s="51">
        <f>IF(A525&gt;$B$6+0.0000001,1E+30,$B$5*IF($B$4=3,1.5*(1-C525)^3,IF($B$4=4,2*(1-C525)^4+6*C525*(1-C525)^3,0)))</f>
        <v/>
      </c>
    </row>
    <row r="526">
      <c r="A526" s="51" t="n">
        <v>0.517</v>
      </c>
      <c r="B526" s="52">
        <f>$B$3*A526^2</f>
        <v/>
      </c>
      <c r="C526" s="52">
        <f>IF($B$4=3,IF(B526&lt;=0.5,1,(1-B526)/B526),IF($B$4=4,IF(B526&lt;=1/3,1,(-B526+SQRT(4*B526-3*B526^2))/(2*B526)),1))</f>
        <v/>
      </c>
      <c r="D526" s="51">
        <f>IF(A526&gt;$B$6+0.0000001,1E+30,$B$5*IF($B$4=3,1.5*(1-C526)^3,IF($B$4=4,2*(1-C526)^4+6*C526*(1-C526)^3,0)))</f>
        <v/>
      </c>
    </row>
    <row r="527">
      <c r="A527" s="51" t="n">
        <v>0.518</v>
      </c>
      <c r="B527" s="52">
        <f>$B$3*A527^2</f>
        <v/>
      </c>
      <c r="C527" s="52">
        <f>IF($B$4=3,IF(B527&lt;=0.5,1,(1-B527)/B527),IF($B$4=4,IF(B527&lt;=1/3,1,(-B527+SQRT(4*B527-3*B527^2))/(2*B527)),1))</f>
        <v/>
      </c>
      <c r="D527" s="51">
        <f>IF(A527&gt;$B$6+0.0000001,1E+30,$B$5*IF($B$4=3,1.5*(1-C527)^3,IF($B$4=4,2*(1-C527)^4+6*C527*(1-C527)^3,0)))</f>
        <v/>
      </c>
    </row>
    <row r="528">
      <c r="A528" s="51" t="n">
        <v>0.519</v>
      </c>
      <c r="B528" s="52">
        <f>$B$3*A528^2</f>
        <v/>
      </c>
      <c r="C528" s="52">
        <f>IF($B$4=3,IF(B528&lt;=0.5,1,(1-B528)/B528),IF($B$4=4,IF(B528&lt;=1/3,1,(-B528+SQRT(4*B528-3*B528^2))/(2*B528)),1))</f>
        <v/>
      </c>
      <c r="D528" s="51">
        <f>IF(A528&gt;$B$6+0.0000001,1E+30,$B$5*IF($B$4=3,1.5*(1-C528)^3,IF($B$4=4,2*(1-C528)^4+6*C528*(1-C528)^3,0)))</f>
        <v/>
      </c>
    </row>
    <row r="529">
      <c r="A529" s="51" t="n">
        <v>0.52</v>
      </c>
      <c r="B529" s="52">
        <f>$B$3*A529^2</f>
        <v/>
      </c>
      <c r="C529" s="52">
        <f>IF($B$4=3,IF(B529&lt;=0.5,1,(1-B529)/B529),IF($B$4=4,IF(B529&lt;=1/3,1,(-B529+SQRT(4*B529-3*B529^2))/(2*B529)),1))</f>
        <v/>
      </c>
      <c r="D529" s="51">
        <f>IF(A529&gt;$B$6+0.0000001,1E+30,$B$5*IF($B$4=3,1.5*(1-C529)^3,IF($B$4=4,2*(1-C529)^4+6*C529*(1-C529)^3,0)))</f>
        <v/>
      </c>
    </row>
    <row r="530">
      <c r="A530" s="51" t="n">
        <v>0.521</v>
      </c>
      <c r="B530" s="52">
        <f>$B$3*A530^2</f>
        <v/>
      </c>
      <c r="C530" s="52">
        <f>IF($B$4=3,IF(B530&lt;=0.5,1,(1-B530)/B530),IF($B$4=4,IF(B530&lt;=1/3,1,(-B530+SQRT(4*B530-3*B530^2))/(2*B530)),1))</f>
        <v/>
      </c>
      <c r="D530" s="51">
        <f>IF(A530&gt;$B$6+0.0000001,1E+30,$B$5*IF($B$4=3,1.5*(1-C530)^3,IF($B$4=4,2*(1-C530)^4+6*C530*(1-C530)^3,0)))</f>
        <v/>
      </c>
    </row>
    <row r="531">
      <c r="A531" s="51" t="n">
        <v>0.522</v>
      </c>
      <c r="B531" s="52">
        <f>$B$3*A531^2</f>
        <v/>
      </c>
      <c r="C531" s="52">
        <f>IF($B$4=3,IF(B531&lt;=0.5,1,(1-B531)/B531),IF($B$4=4,IF(B531&lt;=1/3,1,(-B531+SQRT(4*B531-3*B531^2))/(2*B531)),1))</f>
        <v/>
      </c>
      <c r="D531" s="51">
        <f>IF(A531&gt;$B$6+0.0000001,1E+30,$B$5*IF($B$4=3,1.5*(1-C531)^3,IF($B$4=4,2*(1-C531)^4+6*C531*(1-C531)^3,0)))</f>
        <v/>
      </c>
    </row>
    <row r="532">
      <c r="A532" s="51" t="n">
        <v>0.523</v>
      </c>
      <c r="B532" s="52">
        <f>$B$3*A532^2</f>
        <v/>
      </c>
      <c r="C532" s="52">
        <f>IF($B$4=3,IF(B532&lt;=0.5,1,(1-B532)/B532),IF($B$4=4,IF(B532&lt;=1/3,1,(-B532+SQRT(4*B532-3*B532^2))/(2*B532)),1))</f>
        <v/>
      </c>
      <c r="D532" s="51">
        <f>IF(A532&gt;$B$6+0.0000001,1E+30,$B$5*IF($B$4=3,1.5*(1-C532)^3,IF($B$4=4,2*(1-C532)^4+6*C532*(1-C532)^3,0)))</f>
        <v/>
      </c>
    </row>
    <row r="533">
      <c r="A533" s="51" t="n">
        <v>0.524</v>
      </c>
      <c r="B533" s="52">
        <f>$B$3*A533^2</f>
        <v/>
      </c>
      <c r="C533" s="52">
        <f>IF($B$4=3,IF(B533&lt;=0.5,1,(1-B533)/B533),IF($B$4=4,IF(B533&lt;=1/3,1,(-B533+SQRT(4*B533-3*B533^2))/(2*B533)),1))</f>
        <v/>
      </c>
      <c r="D533" s="51">
        <f>IF(A533&gt;$B$6+0.0000001,1E+30,$B$5*IF($B$4=3,1.5*(1-C533)^3,IF($B$4=4,2*(1-C533)^4+6*C533*(1-C533)^3,0)))</f>
        <v/>
      </c>
    </row>
    <row r="534">
      <c r="A534" s="51" t="n">
        <v>0.525</v>
      </c>
      <c r="B534" s="52">
        <f>$B$3*A534^2</f>
        <v/>
      </c>
      <c r="C534" s="52">
        <f>IF($B$4=3,IF(B534&lt;=0.5,1,(1-B534)/B534),IF($B$4=4,IF(B534&lt;=1/3,1,(-B534+SQRT(4*B534-3*B534^2))/(2*B534)),1))</f>
        <v/>
      </c>
      <c r="D534" s="51">
        <f>IF(A534&gt;$B$6+0.0000001,1E+30,$B$5*IF($B$4=3,1.5*(1-C534)^3,IF($B$4=4,2*(1-C534)^4+6*C534*(1-C534)^3,0)))</f>
        <v/>
      </c>
    </row>
    <row r="535">
      <c r="A535" s="51" t="n">
        <v>0.526</v>
      </c>
      <c r="B535" s="52">
        <f>$B$3*A535^2</f>
        <v/>
      </c>
      <c r="C535" s="52">
        <f>IF($B$4=3,IF(B535&lt;=0.5,1,(1-B535)/B535),IF($B$4=4,IF(B535&lt;=1/3,1,(-B535+SQRT(4*B535-3*B535^2))/(2*B535)),1))</f>
        <v/>
      </c>
      <c r="D535" s="51">
        <f>IF(A535&gt;$B$6+0.0000001,1E+30,$B$5*IF($B$4=3,1.5*(1-C535)^3,IF($B$4=4,2*(1-C535)^4+6*C535*(1-C535)^3,0)))</f>
        <v/>
      </c>
    </row>
    <row r="536">
      <c r="A536" s="51" t="n">
        <v>0.527</v>
      </c>
      <c r="B536" s="52">
        <f>$B$3*A536^2</f>
        <v/>
      </c>
      <c r="C536" s="52">
        <f>IF($B$4=3,IF(B536&lt;=0.5,1,(1-B536)/B536),IF($B$4=4,IF(B536&lt;=1/3,1,(-B536+SQRT(4*B536-3*B536^2))/(2*B536)),1))</f>
        <v/>
      </c>
      <c r="D536" s="51">
        <f>IF(A536&gt;$B$6+0.0000001,1E+30,$B$5*IF($B$4=3,1.5*(1-C536)^3,IF($B$4=4,2*(1-C536)^4+6*C536*(1-C536)^3,0)))</f>
        <v/>
      </c>
    </row>
    <row r="537">
      <c r="A537" s="51" t="n">
        <v>0.528</v>
      </c>
      <c r="B537" s="52">
        <f>$B$3*A537^2</f>
        <v/>
      </c>
      <c r="C537" s="52">
        <f>IF($B$4=3,IF(B537&lt;=0.5,1,(1-B537)/B537),IF($B$4=4,IF(B537&lt;=1/3,1,(-B537+SQRT(4*B537-3*B537^2))/(2*B537)),1))</f>
        <v/>
      </c>
      <c r="D537" s="51">
        <f>IF(A537&gt;$B$6+0.0000001,1E+30,$B$5*IF($B$4=3,1.5*(1-C537)^3,IF($B$4=4,2*(1-C537)^4+6*C537*(1-C537)^3,0)))</f>
        <v/>
      </c>
    </row>
    <row r="538">
      <c r="A538" s="51" t="n">
        <v>0.529</v>
      </c>
      <c r="B538" s="52">
        <f>$B$3*A538^2</f>
        <v/>
      </c>
      <c r="C538" s="52">
        <f>IF($B$4=3,IF(B538&lt;=0.5,1,(1-B538)/B538),IF($B$4=4,IF(B538&lt;=1/3,1,(-B538+SQRT(4*B538-3*B538^2))/(2*B538)),1))</f>
        <v/>
      </c>
      <c r="D538" s="51">
        <f>IF(A538&gt;$B$6+0.0000001,1E+30,$B$5*IF($B$4=3,1.5*(1-C538)^3,IF($B$4=4,2*(1-C538)^4+6*C538*(1-C538)^3,0)))</f>
        <v/>
      </c>
    </row>
    <row r="539">
      <c r="A539" s="51" t="n">
        <v>0.53</v>
      </c>
      <c r="B539" s="52">
        <f>$B$3*A539^2</f>
        <v/>
      </c>
      <c r="C539" s="52">
        <f>IF($B$4=3,IF(B539&lt;=0.5,1,(1-B539)/B539),IF($B$4=4,IF(B539&lt;=1/3,1,(-B539+SQRT(4*B539-3*B539^2))/(2*B539)),1))</f>
        <v/>
      </c>
      <c r="D539" s="51">
        <f>IF(A539&gt;$B$6+0.0000001,1E+30,$B$5*IF($B$4=3,1.5*(1-C539)^3,IF($B$4=4,2*(1-C539)^4+6*C539*(1-C539)^3,0)))</f>
        <v/>
      </c>
    </row>
    <row r="540">
      <c r="A540" s="51" t="n">
        <v>0.531</v>
      </c>
      <c r="B540" s="52">
        <f>$B$3*A540^2</f>
        <v/>
      </c>
      <c r="C540" s="52">
        <f>IF($B$4=3,IF(B540&lt;=0.5,1,(1-B540)/B540),IF($B$4=4,IF(B540&lt;=1/3,1,(-B540+SQRT(4*B540-3*B540^2))/(2*B540)),1))</f>
        <v/>
      </c>
      <c r="D540" s="51">
        <f>IF(A540&gt;$B$6+0.0000001,1E+30,$B$5*IF($B$4=3,1.5*(1-C540)^3,IF($B$4=4,2*(1-C540)^4+6*C540*(1-C540)^3,0)))</f>
        <v/>
      </c>
    </row>
    <row r="541">
      <c r="A541" s="51" t="n">
        <v>0.532</v>
      </c>
      <c r="B541" s="52">
        <f>$B$3*A541^2</f>
        <v/>
      </c>
      <c r="C541" s="52">
        <f>IF($B$4=3,IF(B541&lt;=0.5,1,(1-B541)/B541),IF($B$4=4,IF(B541&lt;=1/3,1,(-B541+SQRT(4*B541-3*B541^2))/(2*B541)),1))</f>
        <v/>
      </c>
      <c r="D541" s="51">
        <f>IF(A541&gt;$B$6+0.0000001,1E+30,$B$5*IF($B$4=3,1.5*(1-C541)^3,IF($B$4=4,2*(1-C541)^4+6*C541*(1-C541)^3,0)))</f>
        <v/>
      </c>
    </row>
    <row r="542">
      <c r="A542" s="51" t="n">
        <v>0.533</v>
      </c>
      <c r="B542" s="52">
        <f>$B$3*A542^2</f>
        <v/>
      </c>
      <c r="C542" s="52">
        <f>IF($B$4=3,IF(B542&lt;=0.5,1,(1-B542)/B542),IF($B$4=4,IF(B542&lt;=1/3,1,(-B542+SQRT(4*B542-3*B542^2))/(2*B542)),1))</f>
        <v/>
      </c>
      <c r="D542" s="51">
        <f>IF(A542&gt;$B$6+0.0000001,1E+30,$B$5*IF($B$4=3,1.5*(1-C542)^3,IF($B$4=4,2*(1-C542)^4+6*C542*(1-C542)^3,0)))</f>
        <v/>
      </c>
    </row>
    <row r="543">
      <c r="A543" s="51" t="n">
        <v>0.534</v>
      </c>
      <c r="B543" s="52">
        <f>$B$3*A543^2</f>
        <v/>
      </c>
      <c r="C543" s="52">
        <f>IF($B$4=3,IF(B543&lt;=0.5,1,(1-B543)/B543),IF($B$4=4,IF(B543&lt;=1/3,1,(-B543+SQRT(4*B543-3*B543^2))/(2*B543)),1))</f>
        <v/>
      </c>
      <c r="D543" s="51">
        <f>IF(A543&gt;$B$6+0.0000001,1E+30,$B$5*IF($B$4=3,1.5*(1-C543)^3,IF($B$4=4,2*(1-C543)^4+6*C543*(1-C543)^3,0)))</f>
        <v/>
      </c>
    </row>
    <row r="544">
      <c r="A544" s="51" t="n">
        <v>0.535</v>
      </c>
      <c r="B544" s="52">
        <f>$B$3*A544^2</f>
        <v/>
      </c>
      <c r="C544" s="52">
        <f>IF($B$4=3,IF(B544&lt;=0.5,1,(1-B544)/B544),IF($B$4=4,IF(B544&lt;=1/3,1,(-B544+SQRT(4*B544-3*B544^2))/(2*B544)),1))</f>
        <v/>
      </c>
      <c r="D544" s="51">
        <f>IF(A544&gt;$B$6+0.0000001,1E+30,$B$5*IF($B$4=3,1.5*(1-C544)^3,IF($B$4=4,2*(1-C544)^4+6*C544*(1-C544)^3,0)))</f>
        <v/>
      </c>
    </row>
    <row r="545">
      <c r="A545" s="51" t="n">
        <v>0.536</v>
      </c>
      <c r="B545" s="52">
        <f>$B$3*A545^2</f>
        <v/>
      </c>
      <c r="C545" s="52">
        <f>IF($B$4=3,IF(B545&lt;=0.5,1,(1-B545)/B545),IF($B$4=4,IF(B545&lt;=1/3,1,(-B545+SQRT(4*B545-3*B545^2))/(2*B545)),1))</f>
        <v/>
      </c>
      <c r="D545" s="51">
        <f>IF(A545&gt;$B$6+0.0000001,1E+30,$B$5*IF($B$4=3,1.5*(1-C545)^3,IF($B$4=4,2*(1-C545)^4+6*C545*(1-C545)^3,0)))</f>
        <v/>
      </c>
    </row>
    <row r="546">
      <c r="A546" s="51" t="n">
        <v>0.537</v>
      </c>
      <c r="B546" s="52">
        <f>$B$3*A546^2</f>
        <v/>
      </c>
      <c r="C546" s="52">
        <f>IF($B$4=3,IF(B546&lt;=0.5,1,(1-B546)/B546),IF($B$4=4,IF(B546&lt;=1/3,1,(-B546+SQRT(4*B546-3*B546^2))/(2*B546)),1))</f>
        <v/>
      </c>
      <c r="D546" s="51">
        <f>IF(A546&gt;$B$6+0.0000001,1E+30,$B$5*IF($B$4=3,1.5*(1-C546)^3,IF($B$4=4,2*(1-C546)^4+6*C546*(1-C546)^3,0)))</f>
        <v/>
      </c>
    </row>
    <row r="547">
      <c r="A547" s="51" t="n">
        <v>0.538</v>
      </c>
      <c r="B547" s="52">
        <f>$B$3*A547^2</f>
        <v/>
      </c>
      <c r="C547" s="52">
        <f>IF($B$4=3,IF(B547&lt;=0.5,1,(1-B547)/B547),IF($B$4=4,IF(B547&lt;=1/3,1,(-B547+SQRT(4*B547-3*B547^2))/(2*B547)),1))</f>
        <v/>
      </c>
      <c r="D547" s="51">
        <f>IF(A547&gt;$B$6+0.0000001,1E+30,$B$5*IF($B$4=3,1.5*(1-C547)^3,IF($B$4=4,2*(1-C547)^4+6*C547*(1-C547)^3,0)))</f>
        <v/>
      </c>
    </row>
    <row r="548">
      <c r="A548" s="51" t="n">
        <v>0.539</v>
      </c>
      <c r="B548" s="52">
        <f>$B$3*A548^2</f>
        <v/>
      </c>
      <c r="C548" s="52">
        <f>IF($B$4=3,IF(B548&lt;=0.5,1,(1-B548)/B548),IF($B$4=4,IF(B548&lt;=1/3,1,(-B548+SQRT(4*B548-3*B548^2))/(2*B548)),1))</f>
        <v/>
      </c>
      <c r="D548" s="51">
        <f>IF(A548&gt;$B$6+0.0000001,1E+30,$B$5*IF($B$4=3,1.5*(1-C548)^3,IF($B$4=4,2*(1-C548)^4+6*C548*(1-C548)^3,0)))</f>
        <v/>
      </c>
    </row>
    <row r="549">
      <c r="A549" s="51" t="n">
        <v>0.54</v>
      </c>
      <c r="B549" s="52">
        <f>$B$3*A549^2</f>
        <v/>
      </c>
      <c r="C549" s="52">
        <f>IF($B$4=3,IF(B549&lt;=0.5,1,(1-B549)/B549),IF($B$4=4,IF(B549&lt;=1/3,1,(-B549+SQRT(4*B549-3*B549^2))/(2*B549)),1))</f>
        <v/>
      </c>
      <c r="D549" s="51">
        <f>IF(A549&gt;$B$6+0.0000001,1E+30,$B$5*IF($B$4=3,1.5*(1-C549)^3,IF($B$4=4,2*(1-C549)^4+6*C549*(1-C549)^3,0)))</f>
        <v/>
      </c>
    </row>
    <row r="550">
      <c r="A550" s="51" t="n">
        <v>0.541</v>
      </c>
      <c r="B550" s="52">
        <f>$B$3*A550^2</f>
        <v/>
      </c>
      <c r="C550" s="52">
        <f>IF($B$4=3,IF(B550&lt;=0.5,1,(1-B550)/B550),IF($B$4=4,IF(B550&lt;=1/3,1,(-B550+SQRT(4*B550-3*B550^2))/(2*B550)),1))</f>
        <v/>
      </c>
      <c r="D550" s="51">
        <f>IF(A550&gt;$B$6+0.0000001,1E+30,$B$5*IF($B$4=3,1.5*(1-C550)^3,IF($B$4=4,2*(1-C550)^4+6*C550*(1-C550)^3,0)))</f>
        <v/>
      </c>
    </row>
    <row r="551">
      <c r="A551" s="51" t="n">
        <v>0.542</v>
      </c>
      <c r="B551" s="52">
        <f>$B$3*A551^2</f>
        <v/>
      </c>
      <c r="C551" s="52">
        <f>IF($B$4=3,IF(B551&lt;=0.5,1,(1-B551)/B551),IF($B$4=4,IF(B551&lt;=1/3,1,(-B551+SQRT(4*B551-3*B551^2))/(2*B551)),1))</f>
        <v/>
      </c>
      <c r="D551" s="51">
        <f>IF(A551&gt;$B$6+0.0000001,1E+30,$B$5*IF($B$4=3,1.5*(1-C551)^3,IF($B$4=4,2*(1-C551)^4+6*C551*(1-C551)^3,0)))</f>
        <v/>
      </c>
    </row>
    <row r="552">
      <c r="A552" s="51" t="n">
        <v>0.543</v>
      </c>
      <c r="B552" s="52">
        <f>$B$3*A552^2</f>
        <v/>
      </c>
      <c r="C552" s="52">
        <f>IF($B$4=3,IF(B552&lt;=0.5,1,(1-B552)/B552),IF($B$4=4,IF(B552&lt;=1/3,1,(-B552+SQRT(4*B552-3*B552^2))/(2*B552)),1))</f>
        <v/>
      </c>
      <c r="D552" s="51">
        <f>IF(A552&gt;$B$6+0.0000001,1E+30,$B$5*IF($B$4=3,1.5*(1-C552)^3,IF($B$4=4,2*(1-C552)^4+6*C552*(1-C552)^3,0)))</f>
        <v/>
      </c>
    </row>
    <row r="553">
      <c r="A553" s="51" t="n">
        <v>0.544</v>
      </c>
      <c r="B553" s="52">
        <f>$B$3*A553^2</f>
        <v/>
      </c>
      <c r="C553" s="52">
        <f>IF($B$4=3,IF(B553&lt;=0.5,1,(1-B553)/B553),IF($B$4=4,IF(B553&lt;=1/3,1,(-B553+SQRT(4*B553-3*B553^2))/(2*B553)),1))</f>
        <v/>
      </c>
      <c r="D553" s="51">
        <f>IF(A553&gt;$B$6+0.0000001,1E+30,$B$5*IF($B$4=3,1.5*(1-C553)^3,IF($B$4=4,2*(1-C553)^4+6*C553*(1-C553)^3,0)))</f>
        <v/>
      </c>
    </row>
    <row r="554">
      <c r="A554" s="51" t="n">
        <v>0.545</v>
      </c>
      <c r="B554" s="52">
        <f>$B$3*A554^2</f>
        <v/>
      </c>
      <c r="C554" s="52">
        <f>IF($B$4=3,IF(B554&lt;=0.5,1,(1-B554)/B554),IF($B$4=4,IF(B554&lt;=1/3,1,(-B554+SQRT(4*B554-3*B554^2))/(2*B554)),1))</f>
        <v/>
      </c>
      <c r="D554" s="51">
        <f>IF(A554&gt;$B$6+0.0000001,1E+30,$B$5*IF($B$4=3,1.5*(1-C554)^3,IF($B$4=4,2*(1-C554)^4+6*C554*(1-C554)^3,0)))</f>
        <v/>
      </c>
    </row>
    <row r="555">
      <c r="A555" s="51" t="n">
        <v>0.546</v>
      </c>
      <c r="B555" s="52">
        <f>$B$3*A555^2</f>
        <v/>
      </c>
      <c r="C555" s="52">
        <f>IF($B$4=3,IF(B555&lt;=0.5,1,(1-B555)/B555),IF($B$4=4,IF(B555&lt;=1/3,1,(-B555+SQRT(4*B555-3*B555^2))/(2*B555)),1))</f>
        <v/>
      </c>
      <c r="D555" s="51">
        <f>IF(A555&gt;$B$6+0.0000001,1E+30,$B$5*IF($B$4=3,1.5*(1-C555)^3,IF($B$4=4,2*(1-C555)^4+6*C555*(1-C555)^3,0)))</f>
        <v/>
      </c>
    </row>
    <row r="556">
      <c r="A556" s="51" t="n">
        <v>0.547</v>
      </c>
      <c r="B556" s="52">
        <f>$B$3*A556^2</f>
        <v/>
      </c>
      <c r="C556" s="52">
        <f>IF($B$4=3,IF(B556&lt;=0.5,1,(1-B556)/B556),IF($B$4=4,IF(B556&lt;=1/3,1,(-B556+SQRT(4*B556-3*B556^2))/(2*B556)),1))</f>
        <v/>
      </c>
      <c r="D556" s="51">
        <f>IF(A556&gt;$B$6+0.0000001,1E+30,$B$5*IF($B$4=3,1.5*(1-C556)^3,IF($B$4=4,2*(1-C556)^4+6*C556*(1-C556)^3,0)))</f>
        <v/>
      </c>
    </row>
    <row r="557">
      <c r="A557" s="51" t="n">
        <v>0.548</v>
      </c>
      <c r="B557" s="52">
        <f>$B$3*A557^2</f>
        <v/>
      </c>
      <c r="C557" s="52">
        <f>IF($B$4=3,IF(B557&lt;=0.5,1,(1-B557)/B557),IF($B$4=4,IF(B557&lt;=1/3,1,(-B557+SQRT(4*B557-3*B557^2))/(2*B557)),1))</f>
        <v/>
      </c>
      <c r="D557" s="51">
        <f>IF(A557&gt;$B$6+0.0000001,1E+30,$B$5*IF($B$4=3,1.5*(1-C557)^3,IF($B$4=4,2*(1-C557)^4+6*C557*(1-C557)^3,0)))</f>
        <v/>
      </c>
    </row>
    <row r="558">
      <c r="A558" s="51" t="n">
        <v>0.549</v>
      </c>
      <c r="B558" s="52">
        <f>$B$3*A558^2</f>
        <v/>
      </c>
      <c r="C558" s="52">
        <f>IF($B$4=3,IF(B558&lt;=0.5,1,(1-B558)/B558),IF($B$4=4,IF(B558&lt;=1/3,1,(-B558+SQRT(4*B558-3*B558^2))/(2*B558)),1))</f>
        <v/>
      </c>
      <c r="D558" s="51">
        <f>IF(A558&gt;$B$6+0.0000001,1E+30,$B$5*IF($B$4=3,1.5*(1-C558)^3,IF($B$4=4,2*(1-C558)^4+6*C558*(1-C558)^3,0)))</f>
        <v/>
      </c>
    </row>
    <row r="559">
      <c r="A559" s="51" t="n">
        <v>0.55</v>
      </c>
      <c r="B559" s="52">
        <f>$B$3*A559^2</f>
        <v/>
      </c>
      <c r="C559" s="52">
        <f>IF($B$4=3,IF(B559&lt;=0.5,1,(1-B559)/B559),IF($B$4=4,IF(B559&lt;=1/3,1,(-B559+SQRT(4*B559-3*B559^2))/(2*B559)),1))</f>
        <v/>
      </c>
      <c r="D559" s="51">
        <f>IF(A559&gt;$B$6+0.0000001,1E+30,$B$5*IF($B$4=3,1.5*(1-C559)^3,IF($B$4=4,2*(1-C559)^4+6*C559*(1-C559)^3,0)))</f>
        <v/>
      </c>
    </row>
    <row r="560">
      <c r="A560" s="51" t="n">
        <v>0.551</v>
      </c>
      <c r="B560" s="52">
        <f>$B$3*A560^2</f>
        <v/>
      </c>
      <c r="C560" s="52">
        <f>IF($B$4=3,IF(B560&lt;=0.5,1,(1-B560)/B560),IF($B$4=4,IF(B560&lt;=1/3,1,(-B560+SQRT(4*B560-3*B560^2))/(2*B560)),1))</f>
        <v/>
      </c>
      <c r="D560" s="51">
        <f>IF(A560&gt;$B$6+0.0000001,1E+30,$B$5*IF($B$4=3,1.5*(1-C560)^3,IF($B$4=4,2*(1-C560)^4+6*C560*(1-C560)^3,0)))</f>
        <v/>
      </c>
    </row>
    <row r="561">
      <c r="A561" s="51" t="n">
        <v>0.552</v>
      </c>
      <c r="B561" s="52">
        <f>$B$3*A561^2</f>
        <v/>
      </c>
      <c r="C561" s="52">
        <f>IF($B$4=3,IF(B561&lt;=0.5,1,(1-B561)/B561),IF($B$4=4,IF(B561&lt;=1/3,1,(-B561+SQRT(4*B561-3*B561^2))/(2*B561)),1))</f>
        <v/>
      </c>
      <c r="D561" s="51">
        <f>IF(A561&gt;$B$6+0.0000001,1E+30,$B$5*IF($B$4=3,1.5*(1-C561)^3,IF($B$4=4,2*(1-C561)^4+6*C561*(1-C561)^3,0)))</f>
        <v/>
      </c>
    </row>
    <row r="562">
      <c r="A562" s="51" t="n">
        <v>0.553</v>
      </c>
      <c r="B562" s="52">
        <f>$B$3*A562^2</f>
        <v/>
      </c>
      <c r="C562" s="52">
        <f>IF($B$4=3,IF(B562&lt;=0.5,1,(1-B562)/B562),IF($B$4=4,IF(B562&lt;=1/3,1,(-B562+SQRT(4*B562-3*B562^2))/(2*B562)),1))</f>
        <v/>
      </c>
      <c r="D562" s="51">
        <f>IF(A562&gt;$B$6+0.0000001,1E+30,$B$5*IF($B$4=3,1.5*(1-C562)^3,IF($B$4=4,2*(1-C562)^4+6*C562*(1-C562)^3,0)))</f>
        <v/>
      </c>
    </row>
    <row r="563">
      <c r="A563" s="51" t="n">
        <v>0.554</v>
      </c>
      <c r="B563" s="52">
        <f>$B$3*A563^2</f>
        <v/>
      </c>
      <c r="C563" s="52">
        <f>IF($B$4=3,IF(B563&lt;=0.5,1,(1-B563)/B563),IF($B$4=4,IF(B563&lt;=1/3,1,(-B563+SQRT(4*B563-3*B563^2))/(2*B563)),1))</f>
        <v/>
      </c>
      <c r="D563" s="51">
        <f>IF(A563&gt;$B$6+0.0000001,1E+30,$B$5*IF($B$4=3,1.5*(1-C563)^3,IF($B$4=4,2*(1-C563)^4+6*C563*(1-C563)^3,0)))</f>
        <v/>
      </c>
    </row>
    <row r="564">
      <c r="A564" s="51" t="n">
        <v>0.555</v>
      </c>
      <c r="B564" s="52">
        <f>$B$3*A564^2</f>
        <v/>
      </c>
      <c r="C564" s="52">
        <f>IF($B$4=3,IF(B564&lt;=0.5,1,(1-B564)/B564),IF($B$4=4,IF(B564&lt;=1/3,1,(-B564+SQRT(4*B564-3*B564^2))/(2*B564)),1))</f>
        <v/>
      </c>
      <c r="D564" s="51">
        <f>IF(A564&gt;$B$6+0.0000001,1E+30,$B$5*IF($B$4=3,1.5*(1-C564)^3,IF($B$4=4,2*(1-C564)^4+6*C564*(1-C564)^3,0)))</f>
        <v/>
      </c>
    </row>
    <row r="565">
      <c r="A565" s="51" t="n">
        <v>0.556</v>
      </c>
      <c r="B565" s="52">
        <f>$B$3*A565^2</f>
        <v/>
      </c>
      <c r="C565" s="52">
        <f>IF($B$4=3,IF(B565&lt;=0.5,1,(1-B565)/B565),IF($B$4=4,IF(B565&lt;=1/3,1,(-B565+SQRT(4*B565-3*B565^2))/(2*B565)),1))</f>
        <v/>
      </c>
      <c r="D565" s="51">
        <f>IF(A565&gt;$B$6+0.0000001,1E+30,$B$5*IF($B$4=3,1.5*(1-C565)^3,IF($B$4=4,2*(1-C565)^4+6*C565*(1-C565)^3,0)))</f>
        <v/>
      </c>
    </row>
    <row r="566">
      <c r="A566" s="51" t="n">
        <v>0.5570000000000001</v>
      </c>
      <c r="B566" s="52">
        <f>$B$3*A566^2</f>
        <v/>
      </c>
      <c r="C566" s="52">
        <f>IF($B$4=3,IF(B566&lt;=0.5,1,(1-B566)/B566),IF($B$4=4,IF(B566&lt;=1/3,1,(-B566+SQRT(4*B566-3*B566^2))/(2*B566)),1))</f>
        <v/>
      </c>
      <c r="D566" s="51">
        <f>IF(A566&gt;$B$6+0.0000001,1E+30,$B$5*IF($B$4=3,1.5*(1-C566)^3,IF($B$4=4,2*(1-C566)^4+6*C566*(1-C566)^3,0)))</f>
        <v/>
      </c>
    </row>
    <row r="567">
      <c r="A567" s="51" t="n">
        <v>0.5580000000000001</v>
      </c>
      <c r="B567" s="52">
        <f>$B$3*A567^2</f>
        <v/>
      </c>
      <c r="C567" s="52">
        <f>IF($B$4=3,IF(B567&lt;=0.5,1,(1-B567)/B567),IF($B$4=4,IF(B567&lt;=1/3,1,(-B567+SQRT(4*B567-3*B567^2))/(2*B567)),1))</f>
        <v/>
      </c>
      <c r="D567" s="51">
        <f>IF(A567&gt;$B$6+0.0000001,1E+30,$B$5*IF($B$4=3,1.5*(1-C567)^3,IF($B$4=4,2*(1-C567)^4+6*C567*(1-C567)^3,0)))</f>
        <v/>
      </c>
    </row>
    <row r="568">
      <c r="A568" s="51" t="n">
        <v>0.5590000000000001</v>
      </c>
      <c r="B568" s="52">
        <f>$B$3*A568^2</f>
        <v/>
      </c>
      <c r="C568" s="52">
        <f>IF($B$4=3,IF(B568&lt;=0.5,1,(1-B568)/B568),IF($B$4=4,IF(B568&lt;=1/3,1,(-B568+SQRT(4*B568-3*B568^2))/(2*B568)),1))</f>
        <v/>
      </c>
      <c r="D568" s="51">
        <f>IF(A568&gt;$B$6+0.0000001,1E+30,$B$5*IF($B$4=3,1.5*(1-C568)^3,IF($B$4=4,2*(1-C568)^4+6*C568*(1-C568)^3,0)))</f>
        <v/>
      </c>
    </row>
    <row r="569">
      <c r="A569" s="51" t="n">
        <v>0.5600000000000001</v>
      </c>
      <c r="B569" s="52">
        <f>$B$3*A569^2</f>
        <v/>
      </c>
      <c r="C569" s="52">
        <f>IF($B$4=3,IF(B569&lt;=0.5,1,(1-B569)/B569),IF($B$4=4,IF(B569&lt;=1/3,1,(-B569+SQRT(4*B569-3*B569^2))/(2*B569)),1))</f>
        <v/>
      </c>
      <c r="D569" s="51">
        <f>IF(A569&gt;$B$6+0.0000001,1E+30,$B$5*IF($B$4=3,1.5*(1-C569)^3,IF($B$4=4,2*(1-C569)^4+6*C569*(1-C569)^3,0)))</f>
        <v/>
      </c>
    </row>
    <row r="570">
      <c r="A570" s="51" t="n">
        <v>0.5610000000000001</v>
      </c>
      <c r="B570" s="52">
        <f>$B$3*A570^2</f>
        <v/>
      </c>
      <c r="C570" s="52">
        <f>IF($B$4=3,IF(B570&lt;=0.5,1,(1-B570)/B570),IF($B$4=4,IF(B570&lt;=1/3,1,(-B570+SQRT(4*B570-3*B570^2))/(2*B570)),1))</f>
        <v/>
      </c>
      <c r="D570" s="51">
        <f>IF(A570&gt;$B$6+0.0000001,1E+30,$B$5*IF($B$4=3,1.5*(1-C570)^3,IF($B$4=4,2*(1-C570)^4+6*C570*(1-C570)^3,0)))</f>
        <v/>
      </c>
    </row>
    <row r="571">
      <c r="A571" s="51" t="n">
        <v>0.5620000000000001</v>
      </c>
      <c r="B571" s="52">
        <f>$B$3*A571^2</f>
        <v/>
      </c>
      <c r="C571" s="52">
        <f>IF($B$4=3,IF(B571&lt;=0.5,1,(1-B571)/B571),IF($B$4=4,IF(B571&lt;=1/3,1,(-B571+SQRT(4*B571-3*B571^2))/(2*B571)),1))</f>
        <v/>
      </c>
      <c r="D571" s="51">
        <f>IF(A571&gt;$B$6+0.0000001,1E+30,$B$5*IF($B$4=3,1.5*(1-C571)^3,IF($B$4=4,2*(1-C571)^4+6*C571*(1-C571)^3,0)))</f>
        <v/>
      </c>
    </row>
    <row r="572">
      <c r="A572" s="51" t="n">
        <v>0.5629999999999999</v>
      </c>
      <c r="B572" s="52">
        <f>$B$3*A572^2</f>
        <v/>
      </c>
      <c r="C572" s="52">
        <f>IF($B$4=3,IF(B572&lt;=0.5,1,(1-B572)/B572),IF($B$4=4,IF(B572&lt;=1/3,1,(-B572+SQRT(4*B572-3*B572^2))/(2*B572)),1))</f>
        <v/>
      </c>
      <c r="D572" s="51">
        <f>IF(A572&gt;$B$6+0.0000001,1E+30,$B$5*IF($B$4=3,1.5*(1-C572)^3,IF($B$4=4,2*(1-C572)^4+6*C572*(1-C572)^3,0)))</f>
        <v/>
      </c>
    </row>
    <row r="573">
      <c r="A573" s="51" t="n">
        <v>0.5639999999999999</v>
      </c>
      <c r="B573" s="52">
        <f>$B$3*A573^2</f>
        <v/>
      </c>
      <c r="C573" s="52">
        <f>IF($B$4=3,IF(B573&lt;=0.5,1,(1-B573)/B573),IF($B$4=4,IF(B573&lt;=1/3,1,(-B573+SQRT(4*B573-3*B573^2))/(2*B573)),1))</f>
        <v/>
      </c>
      <c r="D573" s="51">
        <f>IF(A573&gt;$B$6+0.0000001,1E+30,$B$5*IF($B$4=3,1.5*(1-C573)^3,IF($B$4=4,2*(1-C573)^4+6*C573*(1-C573)^3,0)))</f>
        <v/>
      </c>
    </row>
    <row r="574">
      <c r="A574" s="51" t="n">
        <v>0.5649999999999999</v>
      </c>
      <c r="B574" s="52">
        <f>$B$3*A574^2</f>
        <v/>
      </c>
      <c r="C574" s="52">
        <f>IF($B$4=3,IF(B574&lt;=0.5,1,(1-B574)/B574),IF($B$4=4,IF(B574&lt;=1/3,1,(-B574+SQRT(4*B574-3*B574^2))/(2*B574)),1))</f>
        <v/>
      </c>
      <c r="D574" s="51">
        <f>IF(A574&gt;$B$6+0.0000001,1E+30,$B$5*IF($B$4=3,1.5*(1-C574)^3,IF($B$4=4,2*(1-C574)^4+6*C574*(1-C574)^3,0)))</f>
        <v/>
      </c>
    </row>
    <row r="575">
      <c r="A575" s="51" t="n">
        <v>0.5659999999999999</v>
      </c>
      <c r="B575" s="52">
        <f>$B$3*A575^2</f>
        <v/>
      </c>
      <c r="C575" s="52">
        <f>IF($B$4=3,IF(B575&lt;=0.5,1,(1-B575)/B575),IF($B$4=4,IF(B575&lt;=1/3,1,(-B575+SQRT(4*B575-3*B575^2))/(2*B575)),1))</f>
        <v/>
      </c>
      <c r="D575" s="51">
        <f>IF(A575&gt;$B$6+0.0000001,1E+30,$B$5*IF($B$4=3,1.5*(1-C575)^3,IF($B$4=4,2*(1-C575)^4+6*C575*(1-C575)^3,0)))</f>
        <v/>
      </c>
    </row>
    <row r="576">
      <c r="A576" s="51" t="n">
        <v>0.5669999999999999</v>
      </c>
      <c r="B576" s="52">
        <f>$B$3*A576^2</f>
        <v/>
      </c>
      <c r="C576" s="52">
        <f>IF($B$4=3,IF(B576&lt;=0.5,1,(1-B576)/B576),IF($B$4=4,IF(B576&lt;=1/3,1,(-B576+SQRT(4*B576-3*B576^2))/(2*B576)),1))</f>
        <v/>
      </c>
      <c r="D576" s="51">
        <f>IF(A576&gt;$B$6+0.0000001,1E+30,$B$5*IF($B$4=3,1.5*(1-C576)^3,IF($B$4=4,2*(1-C576)^4+6*C576*(1-C576)^3,0)))</f>
        <v/>
      </c>
    </row>
    <row r="577">
      <c r="A577" s="51" t="n">
        <v>0.5679999999999999</v>
      </c>
      <c r="B577" s="52">
        <f>$B$3*A577^2</f>
        <v/>
      </c>
      <c r="C577" s="52">
        <f>IF($B$4=3,IF(B577&lt;=0.5,1,(1-B577)/B577),IF($B$4=4,IF(B577&lt;=1/3,1,(-B577+SQRT(4*B577-3*B577^2))/(2*B577)),1))</f>
        <v/>
      </c>
      <c r="D577" s="51">
        <f>IF(A577&gt;$B$6+0.0000001,1E+30,$B$5*IF($B$4=3,1.5*(1-C577)^3,IF($B$4=4,2*(1-C577)^4+6*C577*(1-C577)^3,0)))</f>
        <v/>
      </c>
    </row>
    <row r="578">
      <c r="A578" s="51" t="n">
        <v>0.569</v>
      </c>
      <c r="B578" s="52">
        <f>$B$3*A578^2</f>
        <v/>
      </c>
      <c r="C578" s="52">
        <f>IF($B$4=3,IF(B578&lt;=0.5,1,(1-B578)/B578),IF($B$4=4,IF(B578&lt;=1/3,1,(-B578+SQRT(4*B578-3*B578^2))/(2*B578)),1))</f>
        <v/>
      </c>
      <c r="D578" s="51">
        <f>IF(A578&gt;$B$6+0.0000001,1E+30,$B$5*IF($B$4=3,1.5*(1-C578)^3,IF($B$4=4,2*(1-C578)^4+6*C578*(1-C578)^3,0)))</f>
        <v/>
      </c>
    </row>
    <row r="579">
      <c r="A579" s="51" t="n">
        <v>0.57</v>
      </c>
      <c r="B579" s="52">
        <f>$B$3*A579^2</f>
        <v/>
      </c>
      <c r="C579" s="52">
        <f>IF($B$4=3,IF(B579&lt;=0.5,1,(1-B579)/B579),IF($B$4=4,IF(B579&lt;=1/3,1,(-B579+SQRT(4*B579-3*B579^2))/(2*B579)),1))</f>
        <v/>
      </c>
      <c r="D579" s="51">
        <f>IF(A579&gt;$B$6+0.0000001,1E+30,$B$5*IF($B$4=3,1.5*(1-C579)^3,IF($B$4=4,2*(1-C579)^4+6*C579*(1-C579)^3,0)))</f>
        <v/>
      </c>
    </row>
    <row r="580">
      <c r="A580" s="51" t="n">
        <v>0.571</v>
      </c>
      <c r="B580" s="52">
        <f>$B$3*A580^2</f>
        <v/>
      </c>
      <c r="C580" s="52">
        <f>IF($B$4=3,IF(B580&lt;=0.5,1,(1-B580)/B580),IF($B$4=4,IF(B580&lt;=1/3,1,(-B580+SQRT(4*B580-3*B580^2))/(2*B580)),1))</f>
        <v/>
      </c>
      <c r="D580" s="51">
        <f>IF(A580&gt;$B$6+0.0000001,1E+30,$B$5*IF($B$4=3,1.5*(1-C580)^3,IF($B$4=4,2*(1-C580)^4+6*C580*(1-C580)^3,0)))</f>
        <v/>
      </c>
    </row>
    <row r="581">
      <c r="A581" s="51" t="n">
        <v>0.572</v>
      </c>
      <c r="B581" s="52">
        <f>$B$3*A581^2</f>
        <v/>
      </c>
      <c r="C581" s="52">
        <f>IF($B$4=3,IF(B581&lt;=0.5,1,(1-B581)/B581),IF($B$4=4,IF(B581&lt;=1/3,1,(-B581+SQRT(4*B581-3*B581^2))/(2*B581)),1))</f>
        <v/>
      </c>
      <c r="D581" s="51">
        <f>IF(A581&gt;$B$6+0.0000001,1E+30,$B$5*IF($B$4=3,1.5*(1-C581)^3,IF($B$4=4,2*(1-C581)^4+6*C581*(1-C581)^3,0)))</f>
        <v/>
      </c>
    </row>
    <row r="582">
      <c r="A582" s="51" t="n">
        <v>0.573</v>
      </c>
      <c r="B582" s="52">
        <f>$B$3*A582^2</f>
        <v/>
      </c>
      <c r="C582" s="52">
        <f>IF($B$4=3,IF(B582&lt;=0.5,1,(1-B582)/B582),IF($B$4=4,IF(B582&lt;=1/3,1,(-B582+SQRT(4*B582-3*B582^2))/(2*B582)),1))</f>
        <v/>
      </c>
      <c r="D582" s="51">
        <f>IF(A582&gt;$B$6+0.0000001,1E+30,$B$5*IF($B$4=3,1.5*(1-C582)^3,IF($B$4=4,2*(1-C582)^4+6*C582*(1-C582)^3,0)))</f>
        <v/>
      </c>
    </row>
    <row r="583">
      <c r="A583" s="51" t="n">
        <v>0.574</v>
      </c>
      <c r="B583" s="52">
        <f>$B$3*A583^2</f>
        <v/>
      </c>
      <c r="C583" s="52">
        <f>IF($B$4=3,IF(B583&lt;=0.5,1,(1-B583)/B583),IF($B$4=4,IF(B583&lt;=1/3,1,(-B583+SQRT(4*B583-3*B583^2))/(2*B583)),1))</f>
        <v/>
      </c>
      <c r="D583" s="51">
        <f>IF(A583&gt;$B$6+0.0000001,1E+30,$B$5*IF($B$4=3,1.5*(1-C583)^3,IF($B$4=4,2*(1-C583)^4+6*C583*(1-C583)^3,0)))</f>
        <v/>
      </c>
    </row>
    <row r="584">
      <c r="A584" s="51" t="n">
        <v>0.575</v>
      </c>
      <c r="B584" s="52">
        <f>$B$3*A584^2</f>
        <v/>
      </c>
      <c r="C584" s="52">
        <f>IF($B$4=3,IF(B584&lt;=0.5,1,(1-B584)/B584),IF($B$4=4,IF(B584&lt;=1/3,1,(-B584+SQRT(4*B584-3*B584^2))/(2*B584)),1))</f>
        <v/>
      </c>
      <c r="D584" s="51">
        <f>IF(A584&gt;$B$6+0.0000001,1E+30,$B$5*IF($B$4=3,1.5*(1-C584)^3,IF($B$4=4,2*(1-C584)^4+6*C584*(1-C584)^3,0)))</f>
        <v/>
      </c>
    </row>
    <row r="585">
      <c r="A585" s="51" t="n">
        <v>0.576</v>
      </c>
      <c r="B585" s="52">
        <f>$B$3*A585^2</f>
        <v/>
      </c>
      <c r="C585" s="52">
        <f>IF($B$4=3,IF(B585&lt;=0.5,1,(1-B585)/B585),IF($B$4=4,IF(B585&lt;=1/3,1,(-B585+SQRT(4*B585-3*B585^2))/(2*B585)),1))</f>
        <v/>
      </c>
      <c r="D585" s="51">
        <f>IF(A585&gt;$B$6+0.0000001,1E+30,$B$5*IF($B$4=3,1.5*(1-C585)^3,IF($B$4=4,2*(1-C585)^4+6*C585*(1-C585)^3,0)))</f>
        <v/>
      </c>
    </row>
    <row r="586">
      <c r="A586" s="51" t="n">
        <v>0.577</v>
      </c>
      <c r="B586" s="52">
        <f>$B$3*A586^2</f>
        <v/>
      </c>
      <c r="C586" s="52">
        <f>IF($B$4=3,IF(B586&lt;=0.5,1,(1-B586)/B586),IF($B$4=4,IF(B586&lt;=1/3,1,(-B586+SQRT(4*B586-3*B586^2))/(2*B586)),1))</f>
        <v/>
      </c>
      <c r="D586" s="51">
        <f>IF(A586&gt;$B$6+0.0000001,1E+30,$B$5*IF($B$4=3,1.5*(1-C586)^3,IF($B$4=4,2*(1-C586)^4+6*C586*(1-C586)^3,0)))</f>
        <v/>
      </c>
    </row>
    <row r="587">
      <c r="A587" s="51" t="n">
        <v>0.578</v>
      </c>
      <c r="B587" s="52">
        <f>$B$3*A587^2</f>
        <v/>
      </c>
      <c r="C587" s="52">
        <f>IF($B$4=3,IF(B587&lt;=0.5,1,(1-B587)/B587),IF($B$4=4,IF(B587&lt;=1/3,1,(-B587+SQRT(4*B587-3*B587^2))/(2*B587)),1))</f>
        <v/>
      </c>
      <c r="D587" s="51">
        <f>IF(A587&gt;$B$6+0.0000001,1E+30,$B$5*IF($B$4=3,1.5*(1-C587)^3,IF($B$4=4,2*(1-C587)^4+6*C587*(1-C587)^3,0)))</f>
        <v/>
      </c>
    </row>
    <row r="588">
      <c r="A588" s="51" t="n">
        <v>0.579</v>
      </c>
      <c r="B588" s="52">
        <f>$B$3*A588^2</f>
        <v/>
      </c>
      <c r="C588" s="52">
        <f>IF($B$4=3,IF(B588&lt;=0.5,1,(1-B588)/B588),IF($B$4=4,IF(B588&lt;=1/3,1,(-B588+SQRT(4*B588-3*B588^2))/(2*B588)),1))</f>
        <v/>
      </c>
      <c r="D588" s="51">
        <f>IF(A588&gt;$B$6+0.0000001,1E+30,$B$5*IF($B$4=3,1.5*(1-C588)^3,IF($B$4=4,2*(1-C588)^4+6*C588*(1-C588)^3,0)))</f>
        <v/>
      </c>
    </row>
    <row r="589">
      <c r="A589" s="51" t="n">
        <v>0.58</v>
      </c>
      <c r="B589" s="52">
        <f>$B$3*A589^2</f>
        <v/>
      </c>
      <c r="C589" s="52">
        <f>IF($B$4=3,IF(B589&lt;=0.5,1,(1-B589)/B589),IF($B$4=4,IF(B589&lt;=1/3,1,(-B589+SQRT(4*B589-3*B589^2))/(2*B589)),1))</f>
        <v/>
      </c>
      <c r="D589" s="51">
        <f>IF(A589&gt;$B$6+0.0000001,1E+30,$B$5*IF($B$4=3,1.5*(1-C589)^3,IF($B$4=4,2*(1-C589)^4+6*C589*(1-C589)^3,0)))</f>
        <v/>
      </c>
    </row>
    <row r="590">
      <c r="A590" s="51" t="n">
        <v>0.581</v>
      </c>
      <c r="B590" s="52">
        <f>$B$3*A590^2</f>
        <v/>
      </c>
      <c r="C590" s="52">
        <f>IF($B$4=3,IF(B590&lt;=0.5,1,(1-B590)/B590),IF($B$4=4,IF(B590&lt;=1/3,1,(-B590+SQRT(4*B590-3*B590^2))/(2*B590)),1))</f>
        <v/>
      </c>
      <c r="D590" s="51">
        <f>IF(A590&gt;$B$6+0.0000001,1E+30,$B$5*IF($B$4=3,1.5*(1-C590)^3,IF($B$4=4,2*(1-C590)^4+6*C590*(1-C590)^3,0)))</f>
        <v/>
      </c>
    </row>
    <row r="591">
      <c r="A591" s="51" t="n">
        <v>0.582</v>
      </c>
      <c r="B591" s="52">
        <f>$B$3*A591^2</f>
        <v/>
      </c>
      <c r="C591" s="52">
        <f>IF($B$4=3,IF(B591&lt;=0.5,1,(1-B591)/B591),IF($B$4=4,IF(B591&lt;=1/3,1,(-B591+SQRT(4*B591-3*B591^2))/(2*B591)),1))</f>
        <v/>
      </c>
      <c r="D591" s="51">
        <f>IF(A591&gt;$B$6+0.0000001,1E+30,$B$5*IF($B$4=3,1.5*(1-C591)^3,IF($B$4=4,2*(1-C591)^4+6*C591*(1-C591)^3,0)))</f>
        <v/>
      </c>
    </row>
    <row r="592">
      <c r="A592" s="51" t="n">
        <v>0.583</v>
      </c>
      <c r="B592" s="52">
        <f>$B$3*A592^2</f>
        <v/>
      </c>
      <c r="C592" s="52">
        <f>IF($B$4=3,IF(B592&lt;=0.5,1,(1-B592)/B592),IF($B$4=4,IF(B592&lt;=1/3,1,(-B592+SQRT(4*B592-3*B592^2))/(2*B592)),1))</f>
        <v/>
      </c>
      <c r="D592" s="51">
        <f>IF(A592&gt;$B$6+0.0000001,1E+30,$B$5*IF($B$4=3,1.5*(1-C592)^3,IF($B$4=4,2*(1-C592)^4+6*C592*(1-C592)^3,0)))</f>
        <v/>
      </c>
    </row>
    <row r="593">
      <c r="A593" s="51" t="n">
        <v>0.584</v>
      </c>
      <c r="B593" s="52">
        <f>$B$3*A593^2</f>
        <v/>
      </c>
      <c r="C593" s="52">
        <f>IF($B$4=3,IF(B593&lt;=0.5,1,(1-B593)/B593),IF($B$4=4,IF(B593&lt;=1/3,1,(-B593+SQRT(4*B593-3*B593^2))/(2*B593)),1))</f>
        <v/>
      </c>
      <c r="D593" s="51">
        <f>IF(A593&gt;$B$6+0.0000001,1E+30,$B$5*IF($B$4=3,1.5*(1-C593)^3,IF($B$4=4,2*(1-C593)^4+6*C593*(1-C593)^3,0)))</f>
        <v/>
      </c>
    </row>
    <row r="594">
      <c r="A594" s="51" t="n">
        <v>0.585</v>
      </c>
      <c r="B594" s="52">
        <f>$B$3*A594^2</f>
        <v/>
      </c>
      <c r="C594" s="52">
        <f>IF($B$4=3,IF(B594&lt;=0.5,1,(1-B594)/B594),IF($B$4=4,IF(B594&lt;=1/3,1,(-B594+SQRT(4*B594-3*B594^2))/(2*B594)),1))</f>
        <v/>
      </c>
      <c r="D594" s="51">
        <f>IF(A594&gt;$B$6+0.0000001,1E+30,$B$5*IF($B$4=3,1.5*(1-C594)^3,IF($B$4=4,2*(1-C594)^4+6*C594*(1-C594)^3,0)))</f>
        <v/>
      </c>
    </row>
    <row r="595">
      <c r="A595" s="51" t="n">
        <v>0.586</v>
      </c>
      <c r="B595" s="52">
        <f>$B$3*A595^2</f>
        <v/>
      </c>
      <c r="C595" s="52">
        <f>IF($B$4=3,IF(B595&lt;=0.5,1,(1-B595)/B595),IF($B$4=4,IF(B595&lt;=1/3,1,(-B595+SQRT(4*B595-3*B595^2))/(2*B595)),1))</f>
        <v/>
      </c>
      <c r="D595" s="51">
        <f>IF(A595&gt;$B$6+0.0000001,1E+30,$B$5*IF($B$4=3,1.5*(1-C595)^3,IF($B$4=4,2*(1-C595)^4+6*C595*(1-C595)^3,0)))</f>
        <v/>
      </c>
    </row>
    <row r="596">
      <c r="A596" s="51" t="n">
        <v>0.587</v>
      </c>
      <c r="B596" s="52">
        <f>$B$3*A596^2</f>
        <v/>
      </c>
      <c r="C596" s="52">
        <f>IF($B$4=3,IF(B596&lt;=0.5,1,(1-B596)/B596),IF($B$4=4,IF(B596&lt;=1/3,1,(-B596+SQRT(4*B596-3*B596^2))/(2*B596)),1))</f>
        <v/>
      </c>
      <c r="D596" s="51">
        <f>IF(A596&gt;$B$6+0.0000001,1E+30,$B$5*IF($B$4=3,1.5*(1-C596)^3,IF($B$4=4,2*(1-C596)^4+6*C596*(1-C596)^3,0)))</f>
        <v/>
      </c>
    </row>
    <row r="597">
      <c r="A597" s="51" t="n">
        <v>0.588</v>
      </c>
      <c r="B597" s="52">
        <f>$B$3*A597^2</f>
        <v/>
      </c>
      <c r="C597" s="52">
        <f>IF($B$4=3,IF(B597&lt;=0.5,1,(1-B597)/B597),IF($B$4=4,IF(B597&lt;=1/3,1,(-B597+SQRT(4*B597-3*B597^2))/(2*B597)),1))</f>
        <v/>
      </c>
      <c r="D597" s="51">
        <f>IF(A597&gt;$B$6+0.0000001,1E+30,$B$5*IF($B$4=3,1.5*(1-C597)^3,IF($B$4=4,2*(1-C597)^4+6*C597*(1-C597)^3,0)))</f>
        <v/>
      </c>
    </row>
    <row r="598">
      <c r="A598" s="51" t="n">
        <v>0.589</v>
      </c>
      <c r="B598" s="52">
        <f>$B$3*A598^2</f>
        <v/>
      </c>
      <c r="C598" s="52">
        <f>IF($B$4=3,IF(B598&lt;=0.5,1,(1-B598)/B598),IF($B$4=4,IF(B598&lt;=1/3,1,(-B598+SQRT(4*B598-3*B598^2))/(2*B598)),1))</f>
        <v/>
      </c>
      <c r="D598" s="51">
        <f>IF(A598&gt;$B$6+0.0000001,1E+30,$B$5*IF($B$4=3,1.5*(1-C598)^3,IF($B$4=4,2*(1-C598)^4+6*C598*(1-C598)^3,0)))</f>
        <v/>
      </c>
    </row>
    <row r="599">
      <c r="A599" s="51" t="n">
        <v>0.59</v>
      </c>
      <c r="B599" s="52">
        <f>$B$3*A599^2</f>
        <v/>
      </c>
      <c r="C599" s="52">
        <f>IF($B$4=3,IF(B599&lt;=0.5,1,(1-B599)/B599),IF($B$4=4,IF(B599&lt;=1/3,1,(-B599+SQRT(4*B599-3*B599^2))/(2*B599)),1))</f>
        <v/>
      </c>
      <c r="D599" s="51">
        <f>IF(A599&gt;$B$6+0.0000001,1E+30,$B$5*IF($B$4=3,1.5*(1-C599)^3,IF($B$4=4,2*(1-C599)^4+6*C599*(1-C599)^3,0)))</f>
        <v/>
      </c>
    </row>
    <row r="600">
      <c r="A600" s="51" t="n">
        <v>0.591</v>
      </c>
      <c r="B600" s="52">
        <f>$B$3*A600^2</f>
        <v/>
      </c>
      <c r="C600" s="52">
        <f>IF($B$4=3,IF(B600&lt;=0.5,1,(1-B600)/B600),IF($B$4=4,IF(B600&lt;=1/3,1,(-B600+SQRT(4*B600-3*B600^2))/(2*B600)),1))</f>
        <v/>
      </c>
      <c r="D600" s="51">
        <f>IF(A600&gt;$B$6+0.0000001,1E+30,$B$5*IF($B$4=3,1.5*(1-C600)^3,IF($B$4=4,2*(1-C600)^4+6*C600*(1-C600)^3,0)))</f>
        <v/>
      </c>
    </row>
    <row r="601">
      <c r="A601" s="51" t="n">
        <v>0.592</v>
      </c>
      <c r="B601" s="52">
        <f>$B$3*A601^2</f>
        <v/>
      </c>
      <c r="C601" s="52">
        <f>IF($B$4=3,IF(B601&lt;=0.5,1,(1-B601)/B601),IF($B$4=4,IF(B601&lt;=1/3,1,(-B601+SQRT(4*B601-3*B601^2))/(2*B601)),1))</f>
        <v/>
      </c>
      <c r="D601" s="51">
        <f>IF(A601&gt;$B$6+0.0000001,1E+30,$B$5*IF($B$4=3,1.5*(1-C601)^3,IF($B$4=4,2*(1-C601)^4+6*C601*(1-C601)^3,0)))</f>
        <v/>
      </c>
    </row>
    <row r="602">
      <c r="A602" s="51" t="n">
        <v>0.593</v>
      </c>
      <c r="B602" s="52">
        <f>$B$3*A602^2</f>
        <v/>
      </c>
      <c r="C602" s="52">
        <f>IF($B$4=3,IF(B602&lt;=0.5,1,(1-B602)/B602),IF($B$4=4,IF(B602&lt;=1/3,1,(-B602+SQRT(4*B602-3*B602^2))/(2*B602)),1))</f>
        <v/>
      </c>
      <c r="D602" s="51">
        <f>IF(A602&gt;$B$6+0.0000001,1E+30,$B$5*IF($B$4=3,1.5*(1-C602)^3,IF($B$4=4,2*(1-C602)^4+6*C602*(1-C602)^3,0)))</f>
        <v/>
      </c>
    </row>
    <row r="603">
      <c r="A603" s="51" t="n">
        <v>0.594</v>
      </c>
      <c r="B603" s="52">
        <f>$B$3*A603^2</f>
        <v/>
      </c>
      <c r="C603" s="52">
        <f>IF($B$4=3,IF(B603&lt;=0.5,1,(1-B603)/B603),IF($B$4=4,IF(B603&lt;=1/3,1,(-B603+SQRT(4*B603-3*B603^2))/(2*B603)),1))</f>
        <v/>
      </c>
      <c r="D603" s="51">
        <f>IF(A603&gt;$B$6+0.0000001,1E+30,$B$5*IF($B$4=3,1.5*(1-C603)^3,IF($B$4=4,2*(1-C603)^4+6*C603*(1-C603)^3,0)))</f>
        <v/>
      </c>
    </row>
    <row r="604">
      <c r="A604" s="51" t="n">
        <v>0.595</v>
      </c>
      <c r="B604" s="52">
        <f>$B$3*A604^2</f>
        <v/>
      </c>
      <c r="C604" s="52">
        <f>IF($B$4=3,IF(B604&lt;=0.5,1,(1-B604)/B604),IF($B$4=4,IF(B604&lt;=1/3,1,(-B604+SQRT(4*B604-3*B604^2))/(2*B604)),1))</f>
        <v/>
      </c>
      <c r="D604" s="51">
        <f>IF(A604&gt;$B$6+0.0000001,1E+30,$B$5*IF($B$4=3,1.5*(1-C604)^3,IF($B$4=4,2*(1-C604)^4+6*C604*(1-C604)^3,0)))</f>
        <v/>
      </c>
    </row>
    <row r="605">
      <c r="A605" s="51" t="n">
        <v>0.596</v>
      </c>
      <c r="B605" s="52">
        <f>$B$3*A605^2</f>
        <v/>
      </c>
      <c r="C605" s="52">
        <f>IF($B$4=3,IF(B605&lt;=0.5,1,(1-B605)/B605),IF($B$4=4,IF(B605&lt;=1/3,1,(-B605+SQRT(4*B605-3*B605^2))/(2*B605)),1))</f>
        <v/>
      </c>
      <c r="D605" s="51">
        <f>IF(A605&gt;$B$6+0.0000001,1E+30,$B$5*IF($B$4=3,1.5*(1-C605)^3,IF($B$4=4,2*(1-C605)^4+6*C605*(1-C605)^3,0)))</f>
        <v/>
      </c>
    </row>
    <row r="606">
      <c r="A606" s="51" t="n">
        <v>0.597</v>
      </c>
      <c r="B606" s="52">
        <f>$B$3*A606^2</f>
        <v/>
      </c>
      <c r="C606" s="52">
        <f>IF($B$4=3,IF(B606&lt;=0.5,1,(1-B606)/B606),IF($B$4=4,IF(B606&lt;=1/3,1,(-B606+SQRT(4*B606-3*B606^2))/(2*B606)),1))</f>
        <v/>
      </c>
      <c r="D606" s="51">
        <f>IF(A606&gt;$B$6+0.0000001,1E+30,$B$5*IF($B$4=3,1.5*(1-C606)^3,IF($B$4=4,2*(1-C606)^4+6*C606*(1-C606)^3,0)))</f>
        <v/>
      </c>
    </row>
    <row r="607">
      <c r="A607" s="51" t="n">
        <v>0.598</v>
      </c>
      <c r="B607" s="52">
        <f>$B$3*A607^2</f>
        <v/>
      </c>
      <c r="C607" s="52">
        <f>IF($B$4=3,IF(B607&lt;=0.5,1,(1-B607)/B607),IF($B$4=4,IF(B607&lt;=1/3,1,(-B607+SQRT(4*B607-3*B607^2))/(2*B607)),1))</f>
        <v/>
      </c>
      <c r="D607" s="51">
        <f>IF(A607&gt;$B$6+0.0000001,1E+30,$B$5*IF($B$4=3,1.5*(1-C607)^3,IF($B$4=4,2*(1-C607)^4+6*C607*(1-C607)^3,0)))</f>
        <v/>
      </c>
    </row>
    <row r="608">
      <c r="A608" s="51" t="n">
        <v>0.599</v>
      </c>
      <c r="B608" s="52">
        <f>$B$3*A608^2</f>
        <v/>
      </c>
      <c r="C608" s="52">
        <f>IF($B$4=3,IF(B608&lt;=0.5,1,(1-B608)/B608),IF($B$4=4,IF(B608&lt;=1/3,1,(-B608+SQRT(4*B608-3*B608^2))/(2*B608)),1))</f>
        <v/>
      </c>
      <c r="D608" s="51">
        <f>IF(A608&gt;$B$6+0.0000001,1E+30,$B$5*IF($B$4=3,1.5*(1-C608)^3,IF($B$4=4,2*(1-C608)^4+6*C608*(1-C608)^3,0)))</f>
        <v/>
      </c>
    </row>
    <row r="609">
      <c r="A609" s="51" t="n">
        <v>0.6</v>
      </c>
      <c r="B609" s="52">
        <f>$B$3*A609^2</f>
        <v/>
      </c>
      <c r="C609" s="52">
        <f>IF($B$4=3,IF(B609&lt;=0.5,1,(1-B609)/B609),IF($B$4=4,IF(B609&lt;=1/3,1,(-B609+SQRT(4*B609-3*B609^2))/(2*B609)),1))</f>
        <v/>
      </c>
      <c r="D609" s="51">
        <f>IF(A609&gt;$B$6+0.0000001,1E+30,$B$5*IF($B$4=3,1.5*(1-C609)^3,IF($B$4=4,2*(1-C609)^4+6*C609*(1-C609)^3,0)))</f>
        <v/>
      </c>
    </row>
    <row r="610">
      <c r="A610" s="51" t="n">
        <v>0.601</v>
      </c>
      <c r="B610" s="52">
        <f>$B$3*A610^2</f>
        <v/>
      </c>
      <c r="C610" s="52">
        <f>IF($B$4=3,IF(B610&lt;=0.5,1,(1-B610)/B610),IF($B$4=4,IF(B610&lt;=1/3,1,(-B610+SQRT(4*B610-3*B610^2))/(2*B610)),1))</f>
        <v/>
      </c>
      <c r="D610" s="51">
        <f>IF(A610&gt;$B$6+0.0000001,1E+30,$B$5*IF($B$4=3,1.5*(1-C610)^3,IF($B$4=4,2*(1-C610)^4+6*C610*(1-C610)^3,0)))</f>
        <v/>
      </c>
    </row>
    <row r="611">
      <c r="A611" s="51" t="n">
        <v>0.602</v>
      </c>
      <c r="B611" s="52">
        <f>$B$3*A611^2</f>
        <v/>
      </c>
      <c r="C611" s="52">
        <f>IF($B$4=3,IF(B611&lt;=0.5,1,(1-B611)/B611),IF($B$4=4,IF(B611&lt;=1/3,1,(-B611+SQRT(4*B611-3*B611^2))/(2*B611)),1))</f>
        <v/>
      </c>
      <c r="D611" s="51">
        <f>IF(A611&gt;$B$6+0.0000001,1E+30,$B$5*IF($B$4=3,1.5*(1-C611)^3,IF($B$4=4,2*(1-C611)^4+6*C611*(1-C611)^3,0)))</f>
        <v/>
      </c>
    </row>
    <row r="612">
      <c r="A612" s="51" t="n">
        <v>0.603</v>
      </c>
      <c r="B612" s="52">
        <f>$B$3*A612^2</f>
        <v/>
      </c>
      <c r="C612" s="52">
        <f>IF($B$4=3,IF(B612&lt;=0.5,1,(1-B612)/B612),IF($B$4=4,IF(B612&lt;=1/3,1,(-B612+SQRT(4*B612-3*B612^2))/(2*B612)),1))</f>
        <v/>
      </c>
      <c r="D612" s="51">
        <f>IF(A612&gt;$B$6+0.0000001,1E+30,$B$5*IF($B$4=3,1.5*(1-C612)^3,IF($B$4=4,2*(1-C612)^4+6*C612*(1-C612)^3,0)))</f>
        <v/>
      </c>
    </row>
    <row r="613">
      <c r="A613" s="51" t="n">
        <v>0.604</v>
      </c>
      <c r="B613" s="52">
        <f>$B$3*A613^2</f>
        <v/>
      </c>
      <c r="C613" s="52">
        <f>IF($B$4=3,IF(B613&lt;=0.5,1,(1-B613)/B613),IF($B$4=4,IF(B613&lt;=1/3,1,(-B613+SQRT(4*B613-3*B613^2))/(2*B613)),1))</f>
        <v/>
      </c>
      <c r="D613" s="51">
        <f>IF(A613&gt;$B$6+0.0000001,1E+30,$B$5*IF($B$4=3,1.5*(1-C613)^3,IF($B$4=4,2*(1-C613)^4+6*C613*(1-C613)^3,0)))</f>
        <v/>
      </c>
    </row>
    <row r="614">
      <c r="A614" s="51" t="n">
        <v>0.605</v>
      </c>
      <c r="B614" s="52">
        <f>$B$3*A614^2</f>
        <v/>
      </c>
      <c r="C614" s="52">
        <f>IF($B$4=3,IF(B614&lt;=0.5,1,(1-B614)/B614),IF($B$4=4,IF(B614&lt;=1/3,1,(-B614+SQRT(4*B614-3*B614^2))/(2*B614)),1))</f>
        <v/>
      </c>
      <c r="D614" s="51">
        <f>IF(A614&gt;$B$6+0.0000001,1E+30,$B$5*IF($B$4=3,1.5*(1-C614)^3,IF($B$4=4,2*(1-C614)^4+6*C614*(1-C614)^3,0)))</f>
        <v/>
      </c>
    </row>
    <row r="615">
      <c r="A615" s="51" t="n">
        <v>0.606</v>
      </c>
      <c r="B615" s="52">
        <f>$B$3*A615^2</f>
        <v/>
      </c>
      <c r="C615" s="52">
        <f>IF($B$4=3,IF(B615&lt;=0.5,1,(1-B615)/B615),IF($B$4=4,IF(B615&lt;=1/3,1,(-B615+SQRT(4*B615-3*B615^2))/(2*B615)),1))</f>
        <v/>
      </c>
      <c r="D615" s="51">
        <f>IF(A615&gt;$B$6+0.0000001,1E+30,$B$5*IF($B$4=3,1.5*(1-C615)^3,IF($B$4=4,2*(1-C615)^4+6*C615*(1-C615)^3,0)))</f>
        <v/>
      </c>
    </row>
    <row r="616">
      <c r="A616" s="51" t="n">
        <v>0.607</v>
      </c>
      <c r="B616" s="52">
        <f>$B$3*A616^2</f>
        <v/>
      </c>
      <c r="C616" s="52">
        <f>IF($B$4=3,IF(B616&lt;=0.5,1,(1-B616)/B616),IF($B$4=4,IF(B616&lt;=1/3,1,(-B616+SQRT(4*B616-3*B616^2))/(2*B616)),1))</f>
        <v/>
      </c>
      <c r="D616" s="51">
        <f>IF(A616&gt;$B$6+0.0000001,1E+30,$B$5*IF($B$4=3,1.5*(1-C616)^3,IF($B$4=4,2*(1-C616)^4+6*C616*(1-C616)^3,0)))</f>
        <v/>
      </c>
    </row>
    <row r="617">
      <c r="A617" s="51" t="n">
        <v>0.608</v>
      </c>
      <c r="B617" s="52">
        <f>$B$3*A617^2</f>
        <v/>
      </c>
      <c r="C617" s="52">
        <f>IF($B$4=3,IF(B617&lt;=0.5,1,(1-B617)/B617),IF($B$4=4,IF(B617&lt;=1/3,1,(-B617+SQRT(4*B617-3*B617^2))/(2*B617)),1))</f>
        <v/>
      </c>
      <c r="D617" s="51">
        <f>IF(A617&gt;$B$6+0.0000001,1E+30,$B$5*IF($B$4=3,1.5*(1-C617)^3,IF($B$4=4,2*(1-C617)^4+6*C617*(1-C617)^3,0)))</f>
        <v/>
      </c>
    </row>
    <row r="618">
      <c r="A618" s="51" t="n">
        <v>0.609</v>
      </c>
      <c r="B618" s="52">
        <f>$B$3*A618^2</f>
        <v/>
      </c>
      <c r="C618" s="52">
        <f>IF($B$4=3,IF(B618&lt;=0.5,1,(1-B618)/B618),IF($B$4=4,IF(B618&lt;=1/3,1,(-B618+SQRT(4*B618-3*B618^2))/(2*B618)),1))</f>
        <v/>
      </c>
      <c r="D618" s="51">
        <f>IF(A618&gt;$B$6+0.0000001,1E+30,$B$5*IF($B$4=3,1.5*(1-C618)^3,IF($B$4=4,2*(1-C618)^4+6*C618*(1-C618)^3,0)))</f>
        <v/>
      </c>
    </row>
    <row r="619">
      <c r="A619" s="51" t="n">
        <v>0.61</v>
      </c>
      <c r="B619" s="52">
        <f>$B$3*A619^2</f>
        <v/>
      </c>
      <c r="C619" s="52">
        <f>IF($B$4=3,IF(B619&lt;=0.5,1,(1-B619)/B619),IF($B$4=4,IF(B619&lt;=1/3,1,(-B619+SQRT(4*B619-3*B619^2))/(2*B619)),1))</f>
        <v/>
      </c>
      <c r="D619" s="51">
        <f>IF(A619&gt;$B$6+0.0000001,1E+30,$B$5*IF($B$4=3,1.5*(1-C619)^3,IF($B$4=4,2*(1-C619)^4+6*C619*(1-C619)^3,0)))</f>
        <v/>
      </c>
    </row>
    <row r="620">
      <c r="A620" s="51" t="n">
        <v>0.611</v>
      </c>
      <c r="B620" s="52">
        <f>$B$3*A620^2</f>
        <v/>
      </c>
      <c r="C620" s="52">
        <f>IF($B$4=3,IF(B620&lt;=0.5,1,(1-B620)/B620),IF($B$4=4,IF(B620&lt;=1/3,1,(-B620+SQRT(4*B620-3*B620^2))/(2*B620)),1))</f>
        <v/>
      </c>
      <c r="D620" s="51">
        <f>IF(A620&gt;$B$6+0.0000001,1E+30,$B$5*IF($B$4=3,1.5*(1-C620)^3,IF($B$4=4,2*(1-C620)^4+6*C620*(1-C620)^3,0)))</f>
        <v/>
      </c>
    </row>
    <row r="621">
      <c r="A621" s="51" t="n">
        <v>0.612</v>
      </c>
      <c r="B621" s="52">
        <f>$B$3*A621^2</f>
        <v/>
      </c>
      <c r="C621" s="52">
        <f>IF($B$4=3,IF(B621&lt;=0.5,1,(1-B621)/B621),IF($B$4=4,IF(B621&lt;=1/3,1,(-B621+SQRT(4*B621-3*B621^2))/(2*B621)),1))</f>
        <v/>
      </c>
      <c r="D621" s="51">
        <f>IF(A621&gt;$B$6+0.0000001,1E+30,$B$5*IF($B$4=3,1.5*(1-C621)^3,IF($B$4=4,2*(1-C621)^4+6*C621*(1-C621)^3,0)))</f>
        <v/>
      </c>
    </row>
    <row r="622">
      <c r="A622" s="51" t="n">
        <v>0.613</v>
      </c>
      <c r="B622" s="52">
        <f>$B$3*A622^2</f>
        <v/>
      </c>
      <c r="C622" s="52">
        <f>IF($B$4=3,IF(B622&lt;=0.5,1,(1-B622)/B622),IF($B$4=4,IF(B622&lt;=1/3,1,(-B622+SQRT(4*B622-3*B622^2))/(2*B622)),1))</f>
        <v/>
      </c>
      <c r="D622" s="51">
        <f>IF(A622&gt;$B$6+0.0000001,1E+30,$B$5*IF($B$4=3,1.5*(1-C622)^3,IF($B$4=4,2*(1-C622)^4+6*C622*(1-C622)^3,0)))</f>
        <v/>
      </c>
    </row>
    <row r="623">
      <c r="A623" s="51" t="n">
        <v>0.614</v>
      </c>
      <c r="B623" s="52">
        <f>$B$3*A623^2</f>
        <v/>
      </c>
      <c r="C623" s="52">
        <f>IF($B$4=3,IF(B623&lt;=0.5,1,(1-B623)/B623),IF($B$4=4,IF(B623&lt;=1/3,1,(-B623+SQRT(4*B623-3*B623^2))/(2*B623)),1))</f>
        <v/>
      </c>
      <c r="D623" s="51">
        <f>IF(A623&gt;$B$6+0.0000001,1E+30,$B$5*IF($B$4=3,1.5*(1-C623)^3,IF($B$4=4,2*(1-C623)^4+6*C623*(1-C623)^3,0)))</f>
        <v/>
      </c>
    </row>
    <row r="624">
      <c r="A624" s="51" t="n">
        <v>0.615</v>
      </c>
      <c r="B624" s="52">
        <f>$B$3*A624^2</f>
        <v/>
      </c>
      <c r="C624" s="52">
        <f>IF($B$4=3,IF(B624&lt;=0.5,1,(1-B624)/B624),IF($B$4=4,IF(B624&lt;=1/3,1,(-B624+SQRT(4*B624-3*B624^2))/(2*B624)),1))</f>
        <v/>
      </c>
      <c r="D624" s="51">
        <f>IF(A624&gt;$B$6+0.0000001,1E+30,$B$5*IF($B$4=3,1.5*(1-C624)^3,IF($B$4=4,2*(1-C624)^4+6*C624*(1-C624)^3,0)))</f>
        <v/>
      </c>
    </row>
    <row r="625">
      <c r="A625" s="51" t="n">
        <v>0.616</v>
      </c>
      <c r="B625" s="52">
        <f>$B$3*A625^2</f>
        <v/>
      </c>
      <c r="C625" s="52">
        <f>IF($B$4=3,IF(B625&lt;=0.5,1,(1-B625)/B625),IF($B$4=4,IF(B625&lt;=1/3,1,(-B625+SQRT(4*B625-3*B625^2))/(2*B625)),1))</f>
        <v/>
      </c>
      <c r="D625" s="51">
        <f>IF(A625&gt;$B$6+0.0000001,1E+30,$B$5*IF($B$4=3,1.5*(1-C625)^3,IF($B$4=4,2*(1-C625)^4+6*C625*(1-C625)^3,0)))</f>
        <v/>
      </c>
    </row>
    <row r="626">
      <c r="A626" s="51" t="n">
        <v>0.617</v>
      </c>
      <c r="B626" s="52">
        <f>$B$3*A626^2</f>
        <v/>
      </c>
      <c r="C626" s="52">
        <f>IF($B$4=3,IF(B626&lt;=0.5,1,(1-B626)/B626),IF($B$4=4,IF(B626&lt;=1/3,1,(-B626+SQRT(4*B626-3*B626^2))/(2*B626)),1))</f>
        <v/>
      </c>
      <c r="D626" s="51">
        <f>IF(A626&gt;$B$6+0.0000001,1E+30,$B$5*IF($B$4=3,1.5*(1-C626)^3,IF($B$4=4,2*(1-C626)^4+6*C626*(1-C626)^3,0)))</f>
        <v/>
      </c>
    </row>
    <row r="627">
      <c r="A627" s="51" t="n">
        <v>0.618</v>
      </c>
      <c r="B627" s="52">
        <f>$B$3*A627^2</f>
        <v/>
      </c>
      <c r="C627" s="52">
        <f>IF($B$4=3,IF(B627&lt;=0.5,1,(1-B627)/B627),IF($B$4=4,IF(B627&lt;=1/3,1,(-B627+SQRT(4*B627-3*B627^2))/(2*B627)),1))</f>
        <v/>
      </c>
      <c r="D627" s="51">
        <f>IF(A627&gt;$B$6+0.0000001,1E+30,$B$5*IF($B$4=3,1.5*(1-C627)^3,IF($B$4=4,2*(1-C627)^4+6*C627*(1-C627)^3,0)))</f>
        <v/>
      </c>
    </row>
    <row r="628">
      <c r="A628" s="51" t="n">
        <v>0.619</v>
      </c>
      <c r="B628" s="52">
        <f>$B$3*A628^2</f>
        <v/>
      </c>
      <c r="C628" s="52">
        <f>IF($B$4=3,IF(B628&lt;=0.5,1,(1-B628)/B628),IF($B$4=4,IF(B628&lt;=1/3,1,(-B628+SQRT(4*B628-3*B628^2))/(2*B628)),1))</f>
        <v/>
      </c>
      <c r="D628" s="51">
        <f>IF(A628&gt;$B$6+0.0000001,1E+30,$B$5*IF($B$4=3,1.5*(1-C628)^3,IF($B$4=4,2*(1-C628)^4+6*C628*(1-C628)^3,0)))</f>
        <v/>
      </c>
    </row>
    <row r="629">
      <c r="A629" s="51" t="n">
        <v>0.62</v>
      </c>
      <c r="B629" s="52">
        <f>$B$3*A629^2</f>
        <v/>
      </c>
      <c r="C629" s="52">
        <f>IF($B$4=3,IF(B629&lt;=0.5,1,(1-B629)/B629),IF($B$4=4,IF(B629&lt;=1/3,1,(-B629+SQRT(4*B629-3*B629^2))/(2*B629)),1))</f>
        <v/>
      </c>
      <c r="D629" s="51">
        <f>IF(A629&gt;$B$6+0.0000001,1E+30,$B$5*IF($B$4=3,1.5*(1-C629)^3,IF($B$4=4,2*(1-C629)^4+6*C629*(1-C629)^3,0)))</f>
        <v/>
      </c>
    </row>
    <row r="630">
      <c r="A630" s="51" t="n">
        <v>0.621</v>
      </c>
      <c r="B630" s="52">
        <f>$B$3*A630^2</f>
        <v/>
      </c>
      <c r="C630" s="52">
        <f>IF($B$4=3,IF(B630&lt;=0.5,1,(1-B630)/B630),IF($B$4=4,IF(B630&lt;=1/3,1,(-B630+SQRT(4*B630-3*B630^2))/(2*B630)),1))</f>
        <v/>
      </c>
      <c r="D630" s="51">
        <f>IF(A630&gt;$B$6+0.0000001,1E+30,$B$5*IF($B$4=3,1.5*(1-C630)^3,IF($B$4=4,2*(1-C630)^4+6*C630*(1-C630)^3,0)))</f>
        <v/>
      </c>
    </row>
    <row r="631">
      <c r="A631" s="51" t="n">
        <v>0.622</v>
      </c>
      <c r="B631" s="52">
        <f>$B$3*A631^2</f>
        <v/>
      </c>
      <c r="C631" s="52">
        <f>IF($B$4=3,IF(B631&lt;=0.5,1,(1-B631)/B631),IF($B$4=4,IF(B631&lt;=1/3,1,(-B631+SQRT(4*B631-3*B631^2))/(2*B631)),1))</f>
        <v/>
      </c>
      <c r="D631" s="51">
        <f>IF(A631&gt;$B$6+0.0000001,1E+30,$B$5*IF($B$4=3,1.5*(1-C631)^3,IF($B$4=4,2*(1-C631)^4+6*C631*(1-C631)^3,0)))</f>
        <v/>
      </c>
    </row>
    <row r="632">
      <c r="A632" s="51" t="n">
        <v>0.623</v>
      </c>
      <c r="B632" s="52">
        <f>$B$3*A632^2</f>
        <v/>
      </c>
      <c r="C632" s="52">
        <f>IF($B$4=3,IF(B632&lt;=0.5,1,(1-B632)/B632),IF($B$4=4,IF(B632&lt;=1/3,1,(-B632+SQRT(4*B632-3*B632^2))/(2*B632)),1))</f>
        <v/>
      </c>
      <c r="D632" s="51">
        <f>IF(A632&gt;$B$6+0.0000001,1E+30,$B$5*IF($B$4=3,1.5*(1-C632)^3,IF($B$4=4,2*(1-C632)^4+6*C632*(1-C632)^3,0)))</f>
        <v/>
      </c>
    </row>
    <row r="633">
      <c r="A633" s="51" t="n">
        <v>0.624</v>
      </c>
      <c r="B633" s="52">
        <f>$B$3*A633^2</f>
        <v/>
      </c>
      <c r="C633" s="52">
        <f>IF($B$4=3,IF(B633&lt;=0.5,1,(1-B633)/B633),IF($B$4=4,IF(B633&lt;=1/3,1,(-B633+SQRT(4*B633-3*B633^2))/(2*B633)),1))</f>
        <v/>
      </c>
      <c r="D633" s="51">
        <f>IF(A633&gt;$B$6+0.0000001,1E+30,$B$5*IF($B$4=3,1.5*(1-C633)^3,IF($B$4=4,2*(1-C633)^4+6*C633*(1-C633)^3,0)))</f>
        <v/>
      </c>
    </row>
    <row r="634">
      <c r="A634" s="51" t="n">
        <v>0.625</v>
      </c>
      <c r="B634" s="52">
        <f>$B$3*A634^2</f>
        <v/>
      </c>
      <c r="C634" s="52">
        <f>IF($B$4=3,IF(B634&lt;=0.5,1,(1-B634)/B634),IF($B$4=4,IF(B634&lt;=1/3,1,(-B634+SQRT(4*B634-3*B634^2))/(2*B634)),1))</f>
        <v/>
      </c>
      <c r="D634" s="51">
        <f>IF(A634&gt;$B$6+0.0000001,1E+30,$B$5*IF($B$4=3,1.5*(1-C634)^3,IF($B$4=4,2*(1-C634)^4+6*C634*(1-C634)^3,0)))</f>
        <v/>
      </c>
    </row>
    <row r="635">
      <c r="A635" s="51" t="n">
        <v>0.626</v>
      </c>
      <c r="B635" s="52">
        <f>$B$3*A635^2</f>
        <v/>
      </c>
      <c r="C635" s="52">
        <f>IF($B$4=3,IF(B635&lt;=0.5,1,(1-B635)/B635),IF($B$4=4,IF(B635&lt;=1/3,1,(-B635+SQRT(4*B635-3*B635^2))/(2*B635)),1))</f>
        <v/>
      </c>
      <c r="D635" s="51">
        <f>IF(A635&gt;$B$6+0.0000001,1E+30,$B$5*IF($B$4=3,1.5*(1-C635)^3,IF($B$4=4,2*(1-C635)^4+6*C635*(1-C635)^3,0)))</f>
        <v/>
      </c>
    </row>
    <row r="636">
      <c r="A636" s="51" t="n">
        <v>0.627</v>
      </c>
      <c r="B636" s="52">
        <f>$B$3*A636^2</f>
        <v/>
      </c>
      <c r="C636" s="52">
        <f>IF($B$4=3,IF(B636&lt;=0.5,1,(1-B636)/B636),IF($B$4=4,IF(B636&lt;=1/3,1,(-B636+SQRT(4*B636-3*B636^2))/(2*B636)),1))</f>
        <v/>
      </c>
      <c r="D636" s="51">
        <f>IF(A636&gt;$B$6+0.0000001,1E+30,$B$5*IF($B$4=3,1.5*(1-C636)^3,IF($B$4=4,2*(1-C636)^4+6*C636*(1-C636)^3,0)))</f>
        <v/>
      </c>
    </row>
    <row r="637">
      <c r="A637" s="51" t="n">
        <v>0.628</v>
      </c>
      <c r="B637" s="52">
        <f>$B$3*A637^2</f>
        <v/>
      </c>
      <c r="C637" s="52">
        <f>IF($B$4=3,IF(B637&lt;=0.5,1,(1-B637)/B637),IF($B$4=4,IF(B637&lt;=1/3,1,(-B637+SQRT(4*B637-3*B637^2))/(2*B637)),1))</f>
        <v/>
      </c>
      <c r="D637" s="51">
        <f>IF(A637&gt;$B$6+0.0000001,1E+30,$B$5*IF($B$4=3,1.5*(1-C637)^3,IF($B$4=4,2*(1-C637)^4+6*C637*(1-C637)^3,0)))</f>
        <v/>
      </c>
    </row>
    <row r="638">
      <c r="A638" s="51" t="n">
        <v>0.629</v>
      </c>
      <c r="B638" s="52">
        <f>$B$3*A638^2</f>
        <v/>
      </c>
      <c r="C638" s="52">
        <f>IF($B$4=3,IF(B638&lt;=0.5,1,(1-B638)/B638),IF($B$4=4,IF(B638&lt;=1/3,1,(-B638+SQRT(4*B638-3*B638^2))/(2*B638)),1))</f>
        <v/>
      </c>
      <c r="D638" s="51">
        <f>IF(A638&gt;$B$6+0.0000001,1E+30,$B$5*IF($B$4=3,1.5*(1-C638)^3,IF($B$4=4,2*(1-C638)^4+6*C638*(1-C638)^3,0)))</f>
        <v/>
      </c>
    </row>
    <row r="639">
      <c r="A639" s="51" t="n">
        <v>0.63</v>
      </c>
      <c r="B639" s="52">
        <f>$B$3*A639^2</f>
        <v/>
      </c>
      <c r="C639" s="52">
        <f>IF($B$4=3,IF(B639&lt;=0.5,1,(1-B639)/B639),IF($B$4=4,IF(B639&lt;=1/3,1,(-B639+SQRT(4*B639-3*B639^2))/(2*B639)),1))</f>
        <v/>
      </c>
      <c r="D639" s="51">
        <f>IF(A639&gt;$B$6+0.0000001,1E+30,$B$5*IF($B$4=3,1.5*(1-C639)^3,IF($B$4=4,2*(1-C639)^4+6*C639*(1-C639)^3,0)))</f>
        <v/>
      </c>
    </row>
    <row r="640">
      <c r="A640" s="51" t="n">
        <v>0.631</v>
      </c>
      <c r="B640" s="52">
        <f>$B$3*A640^2</f>
        <v/>
      </c>
      <c r="C640" s="52">
        <f>IF($B$4=3,IF(B640&lt;=0.5,1,(1-B640)/B640),IF($B$4=4,IF(B640&lt;=1/3,1,(-B640+SQRT(4*B640-3*B640^2))/(2*B640)),1))</f>
        <v/>
      </c>
      <c r="D640" s="51">
        <f>IF(A640&gt;$B$6+0.0000001,1E+30,$B$5*IF($B$4=3,1.5*(1-C640)^3,IF($B$4=4,2*(1-C640)^4+6*C640*(1-C640)^3,0)))</f>
        <v/>
      </c>
    </row>
    <row r="641">
      <c r="A641" s="51" t="n">
        <v>0.632</v>
      </c>
      <c r="B641" s="52">
        <f>$B$3*A641^2</f>
        <v/>
      </c>
      <c r="C641" s="52">
        <f>IF($B$4=3,IF(B641&lt;=0.5,1,(1-B641)/B641),IF($B$4=4,IF(B641&lt;=1/3,1,(-B641+SQRT(4*B641-3*B641^2))/(2*B641)),1))</f>
        <v/>
      </c>
      <c r="D641" s="51">
        <f>IF(A641&gt;$B$6+0.0000001,1E+30,$B$5*IF($B$4=3,1.5*(1-C641)^3,IF($B$4=4,2*(1-C641)^4+6*C641*(1-C641)^3,0)))</f>
        <v/>
      </c>
    </row>
    <row r="642">
      <c r="A642" s="51" t="n">
        <v>0.633</v>
      </c>
      <c r="B642" s="52">
        <f>$B$3*A642^2</f>
        <v/>
      </c>
      <c r="C642" s="52">
        <f>IF($B$4=3,IF(B642&lt;=0.5,1,(1-B642)/B642),IF($B$4=4,IF(B642&lt;=1/3,1,(-B642+SQRT(4*B642-3*B642^2))/(2*B642)),1))</f>
        <v/>
      </c>
      <c r="D642" s="51">
        <f>IF(A642&gt;$B$6+0.0000001,1E+30,$B$5*IF($B$4=3,1.5*(1-C642)^3,IF($B$4=4,2*(1-C642)^4+6*C642*(1-C642)^3,0)))</f>
        <v/>
      </c>
    </row>
    <row r="643">
      <c r="A643" s="51" t="n">
        <v>0.634</v>
      </c>
      <c r="B643" s="52">
        <f>$B$3*A643^2</f>
        <v/>
      </c>
      <c r="C643" s="52">
        <f>IF($B$4=3,IF(B643&lt;=0.5,1,(1-B643)/B643),IF($B$4=4,IF(B643&lt;=1/3,1,(-B643+SQRT(4*B643-3*B643^2))/(2*B643)),1))</f>
        <v/>
      </c>
      <c r="D643" s="51">
        <f>IF(A643&gt;$B$6+0.0000001,1E+30,$B$5*IF($B$4=3,1.5*(1-C643)^3,IF($B$4=4,2*(1-C643)^4+6*C643*(1-C643)^3,0)))</f>
        <v/>
      </c>
    </row>
    <row r="644">
      <c r="A644" s="51" t="n">
        <v>0.635</v>
      </c>
      <c r="B644" s="52">
        <f>$B$3*A644^2</f>
        <v/>
      </c>
      <c r="C644" s="52">
        <f>IF($B$4=3,IF(B644&lt;=0.5,1,(1-B644)/B644),IF($B$4=4,IF(B644&lt;=1/3,1,(-B644+SQRT(4*B644-3*B644^2))/(2*B644)),1))</f>
        <v/>
      </c>
      <c r="D644" s="51">
        <f>IF(A644&gt;$B$6+0.0000001,1E+30,$B$5*IF($B$4=3,1.5*(1-C644)^3,IF($B$4=4,2*(1-C644)^4+6*C644*(1-C644)^3,0)))</f>
        <v/>
      </c>
    </row>
    <row r="645">
      <c r="A645" s="51" t="n">
        <v>0.636</v>
      </c>
      <c r="B645" s="52">
        <f>$B$3*A645^2</f>
        <v/>
      </c>
      <c r="C645" s="52">
        <f>IF($B$4=3,IF(B645&lt;=0.5,1,(1-B645)/B645),IF($B$4=4,IF(B645&lt;=1/3,1,(-B645+SQRT(4*B645-3*B645^2))/(2*B645)),1))</f>
        <v/>
      </c>
      <c r="D645" s="51">
        <f>IF(A645&gt;$B$6+0.0000001,1E+30,$B$5*IF($B$4=3,1.5*(1-C645)^3,IF($B$4=4,2*(1-C645)^4+6*C645*(1-C645)^3,0)))</f>
        <v/>
      </c>
    </row>
    <row r="646">
      <c r="A646" s="51" t="n">
        <v>0.637</v>
      </c>
      <c r="B646" s="52">
        <f>$B$3*A646^2</f>
        <v/>
      </c>
      <c r="C646" s="52">
        <f>IF($B$4=3,IF(B646&lt;=0.5,1,(1-B646)/B646),IF($B$4=4,IF(B646&lt;=1/3,1,(-B646+SQRT(4*B646-3*B646^2))/(2*B646)),1))</f>
        <v/>
      </c>
      <c r="D646" s="51">
        <f>IF(A646&gt;$B$6+0.0000001,1E+30,$B$5*IF($B$4=3,1.5*(1-C646)^3,IF($B$4=4,2*(1-C646)^4+6*C646*(1-C646)^3,0)))</f>
        <v/>
      </c>
    </row>
    <row r="647">
      <c r="A647" s="51" t="n">
        <v>0.638</v>
      </c>
      <c r="B647" s="52">
        <f>$B$3*A647^2</f>
        <v/>
      </c>
      <c r="C647" s="52">
        <f>IF($B$4=3,IF(B647&lt;=0.5,1,(1-B647)/B647),IF($B$4=4,IF(B647&lt;=1/3,1,(-B647+SQRT(4*B647-3*B647^2))/(2*B647)),1))</f>
        <v/>
      </c>
      <c r="D647" s="51">
        <f>IF(A647&gt;$B$6+0.0000001,1E+30,$B$5*IF($B$4=3,1.5*(1-C647)^3,IF($B$4=4,2*(1-C647)^4+6*C647*(1-C647)^3,0)))</f>
        <v/>
      </c>
    </row>
    <row r="648">
      <c r="A648" s="51" t="n">
        <v>0.639</v>
      </c>
      <c r="B648" s="52">
        <f>$B$3*A648^2</f>
        <v/>
      </c>
      <c r="C648" s="52">
        <f>IF($B$4=3,IF(B648&lt;=0.5,1,(1-B648)/B648),IF($B$4=4,IF(B648&lt;=1/3,1,(-B648+SQRT(4*B648-3*B648^2))/(2*B648)),1))</f>
        <v/>
      </c>
      <c r="D648" s="51">
        <f>IF(A648&gt;$B$6+0.0000001,1E+30,$B$5*IF($B$4=3,1.5*(1-C648)^3,IF($B$4=4,2*(1-C648)^4+6*C648*(1-C648)^3,0)))</f>
        <v/>
      </c>
    </row>
    <row r="649">
      <c r="A649" s="51" t="n">
        <v>0.64</v>
      </c>
      <c r="B649" s="52">
        <f>$B$3*A649^2</f>
        <v/>
      </c>
      <c r="C649" s="52">
        <f>IF($B$4=3,IF(B649&lt;=0.5,1,(1-B649)/B649),IF($B$4=4,IF(B649&lt;=1/3,1,(-B649+SQRT(4*B649-3*B649^2))/(2*B649)),1))</f>
        <v/>
      </c>
      <c r="D649" s="51">
        <f>IF(A649&gt;$B$6+0.0000001,1E+30,$B$5*IF($B$4=3,1.5*(1-C649)^3,IF($B$4=4,2*(1-C649)^4+6*C649*(1-C649)^3,0)))</f>
        <v/>
      </c>
    </row>
    <row r="650">
      <c r="A650" s="51" t="n">
        <v>0.641</v>
      </c>
      <c r="B650" s="52">
        <f>$B$3*A650^2</f>
        <v/>
      </c>
      <c r="C650" s="52">
        <f>IF($B$4=3,IF(B650&lt;=0.5,1,(1-B650)/B650),IF($B$4=4,IF(B650&lt;=1/3,1,(-B650+SQRT(4*B650-3*B650^2))/(2*B650)),1))</f>
        <v/>
      </c>
      <c r="D650" s="51">
        <f>IF(A650&gt;$B$6+0.0000001,1E+30,$B$5*IF($B$4=3,1.5*(1-C650)^3,IF($B$4=4,2*(1-C650)^4+6*C650*(1-C650)^3,0)))</f>
        <v/>
      </c>
    </row>
    <row r="651">
      <c r="A651" s="51" t="n">
        <v>0.642</v>
      </c>
      <c r="B651" s="52">
        <f>$B$3*A651^2</f>
        <v/>
      </c>
      <c r="C651" s="52">
        <f>IF($B$4=3,IF(B651&lt;=0.5,1,(1-B651)/B651),IF($B$4=4,IF(B651&lt;=1/3,1,(-B651+SQRT(4*B651-3*B651^2))/(2*B651)),1))</f>
        <v/>
      </c>
      <c r="D651" s="51">
        <f>IF(A651&gt;$B$6+0.0000001,1E+30,$B$5*IF($B$4=3,1.5*(1-C651)^3,IF($B$4=4,2*(1-C651)^4+6*C651*(1-C651)^3,0)))</f>
        <v/>
      </c>
    </row>
    <row r="652">
      <c r="A652" s="51" t="n">
        <v>0.643</v>
      </c>
      <c r="B652" s="52">
        <f>$B$3*A652^2</f>
        <v/>
      </c>
      <c r="C652" s="52">
        <f>IF($B$4=3,IF(B652&lt;=0.5,1,(1-B652)/B652),IF($B$4=4,IF(B652&lt;=1/3,1,(-B652+SQRT(4*B652-3*B652^2))/(2*B652)),1))</f>
        <v/>
      </c>
      <c r="D652" s="51">
        <f>IF(A652&gt;$B$6+0.0000001,1E+30,$B$5*IF($B$4=3,1.5*(1-C652)^3,IF($B$4=4,2*(1-C652)^4+6*C652*(1-C652)^3,0)))</f>
        <v/>
      </c>
    </row>
    <row r="653">
      <c r="A653" s="51" t="n">
        <v>0.644</v>
      </c>
      <c r="B653" s="52">
        <f>$B$3*A653^2</f>
        <v/>
      </c>
      <c r="C653" s="52">
        <f>IF($B$4=3,IF(B653&lt;=0.5,1,(1-B653)/B653),IF($B$4=4,IF(B653&lt;=1/3,1,(-B653+SQRT(4*B653-3*B653^2))/(2*B653)),1))</f>
        <v/>
      </c>
      <c r="D653" s="51">
        <f>IF(A653&gt;$B$6+0.0000001,1E+30,$B$5*IF($B$4=3,1.5*(1-C653)^3,IF($B$4=4,2*(1-C653)^4+6*C653*(1-C653)^3,0)))</f>
        <v/>
      </c>
    </row>
    <row r="654">
      <c r="A654" s="51" t="n">
        <v>0.645</v>
      </c>
      <c r="B654" s="52">
        <f>$B$3*A654^2</f>
        <v/>
      </c>
      <c r="C654" s="52">
        <f>IF($B$4=3,IF(B654&lt;=0.5,1,(1-B654)/B654),IF($B$4=4,IF(B654&lt;=1/3,1,(-B654+SQRT(4*B654-3*B654^2))/(2*B654)),1))</f>
        <v/>
      </c>
      <c r="D654" s="51">
        <f>IF(A654&gt;$B$6+0.0000001,1E+30,$B$5*IF($B$4=3,1.5*(1-C654)^3,IF($B$4=4,2*(1-C654)^4+6*C654*(1-C654)^3,0)))</f>
        <v/>
      </c>
    </row>
    <row r="655">
      <c r="A655" s="51" t="n">
        <v>0.646</v>
      </c>
      <c r="B655" s="52">
        <f>$B$3*A655^2</f>
        <v/>
      </c>
      <c r="C655" s="52">
        <f>IF($B$4=3,IF(B655&lt;=0.5,1,(1-B655)/B655),IF($B$4=4,IF(B655&lt;=1/3,1,(-B655+SQRT(4*B655-3*B655^2))/(2*B655)),1))</f>
        <v/>
      </c>
      <c r="D655" s="51">
        <f>IF(A655&gt;$B$6+0.0000001,1E+30,$B$5*IF($B$4=3,1.5*(1-C655)^3,IF($B$4=4,2*(1-C655)^4+6*C655*(1-C655)^3,0)))</f>
        <v/>
      </c>
    </row>
    <row r="656">
      <c r="A656" s="51" t="n">
        <v>0.647</v>
      </c>
      <c r="B656" s="52">
        <f>$B$3*A656^2</f>
        <v/>
      </c>
      <c r="C656" s="52">
        <f>IF($B$4=3,IF(B656&lt;=0.5,1,(1-B656)/B656),IF($B$4=4,IF(B656&lt;=1/3,1,(-B656+SQRT(4*B656-3*B656^2))/(2*B656)),1))</f>
        <v/>
      </c>
      <c r="D656" s="51">
        <f>IF(A656&gt;$B$6+0.0000001,1E+30,$B$5*IF($B$4=3,1.5*(1-C656)^3,IF($B$4=4,2*(1-C656)^4+6*C656*(1-C656)^3,0)))</f>
        <v/>
      </c>
    </row>
    <row r="657">
      <c r="A657" s="51" t="n">
        <v>0.648</v>
      </c>
      <c r="B657" s="52">
        <f>$B$3*A657^2</f>
        <v/>
      </c>
      <c r="C657" s="52">
        <f>IF($B$4=3,IF(B657&lt;=0.5,1,(1-B657)/B657),IF($B$4=4,IF(B657&lt;=1/3,1,(-B657+SQRT(4*B657-3*B657^2))/(2*B657)),1))</f>
        <v/>
      </c>
      <c r="D657" s="51">
        <f>IF(A657&gt;$B$6+0.0000001,1E+30,$B$5*IF($B$4=3,1.5*(1-C657)^3,IF($B$4=4,2*(1-C657)^4+6*C657*(1-C657)^3,0)))</f>
        <v/>
      </c>
    </row>
    <row r="658">
      <c r="A658" s="51" t="n">
        <v>0.649</v>
      </c>
      <c r="B658" s="52">
        <f>$B$3*A658^2</f>
        <v/>
      </c>
      <c r="C658" s="52">
        <f>IF($B$4=3,IF(B658&lt;=0.5,1,(1-B658)/B658),IF($B$4=4,IF(B658&lt;=1/3,1,(-B658+SQRT(4*B658-3*B658^2))/(2*B658)),1))</f>
        <v/>
      </c>
      <c r="D658" s="51">
        <f>IF(A658&gt;$B$6+0.0000001,1E+30,$B$5*IF($B$4=3,1.5*(1-C658)^3,IF($B$4=4,2*(1-C658)^4+6*C658*(1-C658)^3,0)))</f>
        <v/>
      </c>
    </row>
    <row r="659">
      <c r="A659" s="51" t="n">
        <v>0.65</v>
      </c>
      <c r="B659" s="52">
        <f>$B$3*A659^2</f>
        <v/>
      </c>
      <c r="C659" s="52">
        <f>IF($B$4=3,IF(B659&lt;=0.5,1,(1-B659)/B659),IF($B$4=4,IF(B659&lt;=1/3,1,(-B659+SQRT(4*B659-3*B659^2))/(2*B659)),1))</f>
        <v/>
      </c>
      <c r="D659" s="51">
        <f>IF(A659&gt;$B$6+0.0000001,1E+30,$B$5*IF($B$4=3,1.5*(1-C659)^3,IF($B$4=4,2*(1-C659)^4+6*C659*(1-C659)^3,0)))</f>
        <v/>
      </c>
    </row>
    <row r="660">
      <c r="A660" s="51" t="n">
        <v>0.651</v>
      </c>
      <c r="B660" s="52">
        <f>$B$3*A660^2</f>
        <v/>
      </c>
      <c r="C660" s="52">
        <f>IF($B$4=3,IF(B660&lt;=0.5,1,(1-B660)/B660),IF($B$4=4,IF(B660&lt;=1/3,1,(-B660+SQRT(4*B660-3*B660^2))/(2*B660)),1))</f>
        <v/>
      </c>
      <c r="D660" s="51">
        <f>IF(A660&gt;$B$6+0.0000001,1E+30,$B$5*IF($B$4=3,1.5*(1-C660)^3,IF($B$4=4,2*(1-C660)^4+6*C660*(1-C660)^3,0)))</f>
        <v/>
      </c>
    </row>
    <row r="661">
      <c r="A661" s="51" t="n">
        <v>0.652</v>
      </c>
      <c r="B661" s="52">
        <f>$B$3*A661^2</f>
        <v/>
      </c>
      <c r="C661" s="52">
        <f>IF($B$4=3,IF(B661&lt;=0.5,1,(1-B661)/B661),IF($B$4=4,IF(B661&lt;=1/3,1,(-B661+SQRT(4*B661-3*B661^2))/(2*B661)),1))</f>
        <v/>
      </c>
      <c r="D661" s="51">
        <f>IF(A661&gt;$B$6+0.0000001,1E+30,$B$5*IF($B$4=3,1.5*(1-C661)^3,IF($B$4=4,2*(1-C661)^4+6*C661*(1-C661)^3,0)))</f>
        <v/>
      </c>
    </row>
    <row r="662">
      <c r="A662" s="51" t="n">
        <v>0.653</v>
      </c>
      <c r="B662" s="52">
        <f>$B$3*A662^2</f>
        <v/>
      </c>
      <c r="C662" s="52">
        <f>IF($B$4=3,IF(B662&lt;=0.5,1,(1-B662)/B662),IF($B$4=4,IF(B662&lt;=1/3,1,(-B662+SQRT(4*B662-3*B662^2))/(2*B662)),1))</f>
        <v/>
      </c>
      <c r="D662" s="51">
        <f>IF(A662&gt;$B$6+0.0000001,1E+30,$B$5*IF($B$4=3,1.5*(1-C662)^3,IF($B$4=4,2*(1-C662)^4+6*C662*(1-C662)^3,0)))</f>
        <v/>
      </c>
    </row>
    <row r="663">
      <c r="A663" s="51" t="n">
        <v>0.654</v>
      </c>
      <c r="B663" s="52">
        <f>$B$3*A663^2</f>
        <v/>
      </c>
      <c r="C663" s="52">
        <f>IF($B$4=3,IF(B663&lt;=0.5,1,(1-B663)/B663),IF($B$4=4,IF(B663&lt;=1/3,1,(-B663+SQRT(4*B663-3*B663^2))/(2*B663)),1))</f>
        <v/>
      </c>
      <c r="D663" s="51">
        <f>IF(A663&gt;$B$6+0.0000001,1E+30,$B$5*IF($B$4=3,1.5*(1-C663)^3,IF($B$4=4,2*(1-C663)^4+6*C663*(1-C663)^3,0)))</f>
        <v/>
      </c>
    </row>
    <row r="664">
      <c r="A664" s="51" t="n">
        <v>0.655</v>
      </c>
      <c r="B664" s="52">
        <f>$B$3*A664^2</f>
        <v/>
      </c>
      <c r="C664" s="52">
        <f>IF($B$4=3,IF(B664&lt;=0.5,1,(1-B664)/B664),IF($B$4=4,IF(B664&lt;=1/3,1,(-B664+SQRT(4*B664-3*B664^2))/(2*B664)),1))</f>
        <v/>
      </c>
      <c r="D664" s="51">
        <f>IF(A664&gt;$B$6+0.0000001,1E+30,$B$5*IF($B$4=3,1.5*(1-C664)^3,IF($B$4=4,2*(1-C664)^4+6*C664*(1-C664)^3,0)))</f>
        <v/>
      </c>
    </row>
    <row r="665">
      <c r="A665" s="51" t="n">
        <v>0.656</v>
      </c>
      <c r="B665" s="52">
        <f>$B$3*A665^2</f>
        <v/>
      </c>
      <c r="C665" s="52">
        <f>IF($B$4=3,IF(B665&lt;=0.5,1,(1-B665)/B665),IF($B$4=4,IF(B665&lt;=1/3,1,(-B665+SQRT(4*B665-3*B665^2))/(2*B665)),1))</f>
        <v/>
      </c>
      <c r="D665" s="51">
        <f>IF(A665&gt;$B$6+0.0000001,1E+30,$B$5*IF($B$4=3,1.5*(1-C665)^3,IF($B$4=4,2*(1-C665)^4+6*C665*(1-C665)^3,0)))</f>
        <v/>
      </c>
    </row>
    <row r="666">
      <c r="A666" s="51" t="n">
        <v>0.657</v>
      </c>
      <c r="B666" s="52">
        <f>$B$3*A666^2</f>
        <v/>
      </c>
      <c r="C666" s="52">
        <f>IF($B$4=3,IF(B666&lt;=0.5,1,(1-B666)/B666),IF($B$4=4,IF(B666&lt;=1/3,1,(-B666+SQRT(4*B666-3*B666^2))/(2*B666)),1))</f>
        <v/>
      </c>
      <c r="D666" s="51">
        <f>IF(A666&gt;$B$6+0.0000001,1E+30,$B$5*IF($B$4=3,1.5*(1-C666)^3,IF($B$4=4,2*(1-C666)^4+6*C666*(1-C666)^3,0)))</f>
        <v/>
      </c>
    </row>
    <row r="667">
      <c r="A667" s="51" t="n">
        <v>0.658</v>
      </c>
      <c r="B667" s="52">
        <f>$B$3*A667^2</f>
        <v/>
      </c>
      <c r="C667" s="52">
        <f>IF($B$4=3,IF(B667&lt;=0.5,1,(1-B667)/B667),IF($B$4=4,IF(B667&lt;=1/3,1,(-B667+SQRT(4*B667-3*B667^2))/(2*B667)),1))</f>
        <v/>
      </c>
      <c r="D667" s="51">
        <f>IF(A667&gt;$B$6+0.0000001,1E+30,$B$5*IF($B$4=3,1.5*(1-C667)^3,IF($B$4=4,2*(1-C667)^4+6*C667*(1-C667)^3,0)))</f>
        <v/>
      </c>
    </row>
    <row r="668">
      <c r="A668" s="51" t="n">
        <v>0.659</v>
      </c>
      <c r="B668" s="52">
        <f>$B$3*A668^2</f>
        <v/>
      </c>
      <c r="C668" s="52">
        <f>IF($B$4=3,IF(B668&lt;=0.5,1,(1-B668)/B668),IF($B$4=4,IF(B668&lt;=1/3,1,(-B668+SQRT(4*B668-3*B668^2))/(2*B668)),1))</f>
        <v/>
      </c>
      <c r="D668" s="51">
        <f>IF(A668&gt;$B$6+0.0000001,1E+30,$B$5*IF($B$4=3,1.5*(1-C668)^3,IF($B$4=4,2*(1-C668)^4+6*C668*(1-C668)^3,0)))</f>
        <v/>
      </c>
    </row>
    <row r="669">
      <c r="A669" s="51" t="n">
        <v>0.66</v>
      </c>
      <c r="B669" s="52">
        <f>$B$3*A669^2</f>
        <v/>
      </c>
      <c r="C669" s="52">
        <f>IF($B$4=3,IF(B669&lt;=0.5,1,(1-B669)/B669),IF($B$4=4,IF(B669&lt;=1/3,1,(-B669+SQRT(4*B669-3*B669^2))/(2*B669)),1))</f>
        <v/>
      </c>
      <c r="D669" s="51">
        <f>IF(A669&gt;$B$6+0.0000001,1E+30,$B$5*IF($B$4=3,1.5*(1-C669)^3,IF($B$4=4,2*(1-C669)^4+6*C669*(1-C669)^3,0)))</f>
        <v/>
      </c>
    </row>
    <row r="670">
      <c r="A670" s="51" t="n">
        <v>0.661</v>
      </c>
      <c r="B670" s="52">
        <f>$B$3*A670^2</f>
        <v/>
      </c>
      <c r="C670" s="52">
        <f>IF($B$4=3,IF(B670&lt;=0.5,1,(1-B670)/B670),IF($B$4=4,IF(B670&lt;=1/3,1,(-B670+SQRT(4*B670-3*B670^2))/(2*B670)),1))</f>
        <v/>
      </c>
      <c r="D670" s="51">
        <f>IF(A670&gt;$B$6+0.0000001,1E+30,$B$5*IF($B$4=3,1.5*(1-C670)^3,IF($B$4=4,2*(1-C670)^4+6*C670*(1-C670)^3,0)))</f>
        <v/>
      </c>
    </row>
    <row r="671">
      <c r="A671" s="51" t="n">
        <v>0.662</v>
      </c>
      <c r="B671" s="52">
        <f>$B$3*A671^2</f>
        <v/>
      </c>
      <c r="C671" s="52">
        <f>IF($B$4=3,IF(B671&lt;=0.5,1,(1-B671)/B671),IF($B$4=4,IF(B671&lt;=1/3,1,(-B671+SQRT(4*B671-3*B671^2))/(2*B671)),1))</f>
        <v/>
      </c>
      <c r="D671" s="51">
        <f>IF(A671&gt;$B$6+0.0000001,1E+30,$B$5*IF($B$4=3,1.5*(1-C671)^3,IF($B$4=4,2*(1-C671)^4+6*C671*(1-C671)^3,0)))</f>
        <v/>
      </c>
    </row>
    <row r="672">
      <c r="A672" s="51" t="n">
        <v>0.663</v>
      </c>
      <c r="B672" s="52">
        <f>$B$3*A672^2</f>
        <v/>
      </c>
      <c r="C672" s="52">
        <f>IF($B$4=3,IF(B672&lt;=0.5,1,(1-B672)/B672),IF($B$4=4,IF(B672&lt;=1/3,1,(-B672+SQRT(4*B672-3*B672^2))/(2*B672)),1))</f>
        <v/>
      </c>
      <c r="D672" s="51">
        <f>IF(A672&gt;$B$6+0.0000001,1E+30,$B$5*IF($B$4=3,1.5*(1-C672)^3,IF($B$4=4,2*(1-C672)^4+6*C672*(1-C672)^3,0)))</f>
        <v/>
      </c>
    </row>
    <row r="673">
      <c r="A673" s="51" t="n">
        <v>0.664</v>
      </c>
      <c r="B673" s="52">
        <f>$B$3*A673^2</f>
        <v/>
      </c>
      <c r="C673" s="52">
        <f>IF($B$4=3,IF(B673&lt;=0.5,1,(1-B673)/B673),IF($B$4=4,IF(B673&lt;=1/3,1,(-B673+SQRT(4*B673-3*B673^2))/(2*B673)),1))</f>
        <v/>
      </c>
      <c r="D673" s="51">
        <f>IF(A673&gt;$B$6+0.0000001,1E+30,$B$5*IF($B$4=3,1.5*(1-C673)^3,IF($B$4=4,2*(1-C673)^4+6*C673*(1-C673)^3,0)))</f>
        <v/>
      </c>
    </row>
    <row r="674">
      <c r="A674" s="51" t="n">
        <v>0.665</v>
      </c>
      <c r="B674" s="52">
        <f>$B$3*A674^2</f>
        <v/>
      </c>
      <c r="C674" s="52">
        <f>IF($B$4=3,IF(B674&lt;=0.5,1,(1-B674)/B674),IF($B$4=4,IF(B674&lt;=1/3,1,(-B674+SQRT(4*B674-3*B674^2))/(2*B674)),1))</f>
        <v/>
      </c>
      <c r="D674" s="51">
        <f>IF(A674&gt;$B$6+0.0000001,1E+30,$B$5*IF($B$4=3,1.5*(1-C674)^3,IF($B$4=4,2*(1-C674)^4+6*C674*(1-C674)^3,0)))</f>
        <v/>
      </c>
    </row>
    <row r="675">
      <c r="A675" s="51" t="n">
        <v>0.666</v>
      </c>
      <c r="B675" s="52">
        <f>$B$3*A675^2</f>
        <v/>
      </c>
      <c r="C675" s="52">
        <f>IF($B$4=3,IF(B675&lt;=0.5,1,(1-B675)/B675),IF($B$4=4,IF(B675&lt;=1/3,1,(-B675+SQRT(4*B675-3*B675^2))/(2*B675)),1))</f>
        <v/>
      </c>
      <c r="D675" s="51">
        <f>IF(A675&gt;$B$6+0.0000001,1E+30,$B$5*IF($B$4=3,1.5*(1-C675)^3,IF($B$4=4,2*(1-C675)^4+6*C675*(1-C675)^3,0)))</f>
        <v/>
      </c>
    </row>
    <row r="676">
      <c r="A676" s="51" t="n">
        <v>0.667</v>
      </c>
      <c r="B676" s="52">
        <f>$B$3*A676^2</f>
        <v/>
      </c>
      <c r="C676" s="52">
        <f>IF($B$4=3,IF(B676&lt;=0.5,1,(1-B676)/B676),IF($B$4=4,IF(B676&lt;=1/3,1,(-B676+SQRT(4*B676-3*B676^2))/(2*B676)),1))</f>
        <v/>
      </c>
      <c r="D676" s="51">
        <f>IF(A676&gt;$B$6+0.0000001,1E+30,$B$5*IF($B$4=3,1.5*(1-C676)^3,IF($B$4=4,2*(1-C676)^4+6*C676*(1-C676)^3,0)))</f>
        <v/>
      </c>
    </row>
    <row r="677">
      <c r="A677" s="51" t="n">
        <v>0.668</v>
      </c>
      <c r="B677" s="52">
        <f>$B$3*A677^2</f>
        <v/>
      </c>
      <c r="C677" s="52">
        <f>IF($B$4=3,IF(B677&lt;=0.5,1,(1-B677)/B677),IF($B$4=4,IF(B677&lt;=1/3,1,(-B677+SQRT(4*B677-3*B677^2))/(2*B677)),1))</f>
        <v/>
      </c>
      <c r="D677" s="51">
        <f>IF(A677&gt;$B$6+0.0000001,1E+30,$B$5*IF($B$4=3,1.5*(1-C677)^3,IF($B$4=4,2*(1-C677)^4+6*C677*(1-C677)^3,0)))</f>
        <v/>
      </c>
    </row>
    <row r="678">
      <c r="A678" s="51" t="n">
        <v>0.669</v>
      </c>
      <c r="B678" s="52">
        <f>$B$3*A678^2</f>
        <v/>
      </c>
      <c r="C678" s="52">
        <f>IF($B$4=3,IF(B678&lt;=0.5,1,(1-B678)/B678),IF($B$4=4,IF(B678&lt;=1/3,1,(-B678+SQRT(4*B678-3*B678^2))/(2*B678)),1))</f>
        <v/>
      </c>
      <c r="D678" s="51">
        <f>IF(A678&gt;$B$6+0.0000001,1E+30,$B$5*IF($B$4=3,1.5*(1-C678)^3,IF($B$4=4,2*(1-C678)^4+6*C678*(1-C678)^3,0)))</f>
        <v/>
      </c>
    </row>
    <row r="679">
      <c r="A679" s="51" t="n">
        <v>0.67</v>
      </c>
      <c r="B679" s="52">
        <f>$B$3*A679^2</f>
        <v/>
      </c>
      <c r="C679" s="52">
        <f>IF($B$4=3,IF(B679&lt;=0.5,1,(1-B679)/B679),IF($B$4=4,IF(B679&lt;=1/3,1,(-B679+SQRT(4*B679-3*B679^2))/(2*B679)),1))</f>
        <v/>
      </c>
      <c r="D679" s="51">
        <f>IF(A679&gt;$B$6+0.0000001,1E+30,$B$5*IF($B$4=3,1.5*(1-C679)^3,IF($B$4=4,2*(1-C679)^4+6*C679*(1-C679)^3,0)))</f>
        <v/>
      </c>
    </row>
    <row r="680">
      <c r="A680" s="51" t="n">
        <v>0.671</v>
      </c>
      <c r="B680" s="52">
        <f>$B$3*A680^2</f>
        <v/>
      </c>
      <c r="C680" s="52">
        <f>IF($B$4=3,IF(B680&lt;=0.5,1,(1-B680)/B680),IF($B$4=4,IF(B680&lt;=1/3,1,(-B680+SQRT(4*B680-3*B680^2))/(2*B680)),1))</f>
        <v/>
      </c>
      <c r="D680" s="51">
        <f>IF(A680&gt;$B$6+0.0000001,1E+30,$B$5*IF($B$4=3,1.5*(1-C680)^3,IF($B$4=4,2*(1-C680)^4+6*C680*(1-C680)^3,0)))</f>
        <v/>
      </c>
    </row>
    <row r="681">
      <c r="A681" s="51" t="n">
        <v>0.672</v>
      </c>
      <c r="B681" s="52">
        <f>$B$3*A681^2</f>
        <v/>
      </c>
      <c r="C681" s="52">
        <f>IF($B$4=3,IF(B681&lt;=0.5,1,(1-B681)/B681),IF($B$4=4,IF(B681&lt;=1/3,1,(-B681+SQRT(4*B681-3*B681^2))/(2*B681)),1))</f>
        <v/>
      </c>
      <c r="D681" s="51">
        <f>IF(A681&gt;$B$6+0.0000001,1E+30,$B$5*IF($B$4=3,1.5*(1-C681)^3,IF($B$4=4,2*(1-C681)^4+6*C681*(1-C681)^3,0)))</f>
        <v/>
      </c>
    </row>
    <row r="682">
      <c r="A682" s="51" t="n">
        <v>0.673</v>
      </c>
      <c r="B682" s="52">
        <f>$B$3*A682^2</f>
        <v/>
      </c>
      <c r="C682" s="52">
        <f>IF($B$4=3,IF(B682&lt;=0.5,1,(1-B682)/B682),IF($B$4=4,IF(B682&lt;=1/3,1,(-B682+SQRT(4*B682-3*B682^2))/(2*B682)),1))</f>
        <v/>
      </c>
      <c r="D682" s="51">
        <f>IF(A682&gt;$B$6+0.0000001,1E+30,$B$5*IF($B$4=3,1.5*(1-C682)^3,IF($B$4=4,2*(1-C682)^4+6*C682*(1-C682)^3,0)))</f>
        <v/>
      </c>
    </row>
    <row r="683">
      <c r="A683" s="51" t="n">
        <v>0.674</v>
      </c>
      <c r="B683" s="52">
        <f>$B$3*A683^2</f>
        <v/>
      </c>
      <c r="C683" s="52">
        <f>IF($B$4=3,IF(B683&lt;=0.5,1,(1-B683)/B683),IF($B$4=4,IF(B683&lt;=1/3,1,(-B683+SQRT(4*B683-3*B683^2))/(2*B683)),1))</f>
        <v/>
      </c>
      <c r="D683" s="51">
        <f>IF(A683&gt;$B$6+0.0000001,1E+30,$B$5*IF($B$4=3,1.5*(1-C683)^3,IF($B$4=4,2*(1-C683)^4+6*C683*(1-C683)^3,0)))</f>
        <v/>
      </c>
    </row>
    <row r="684">
      <c r="A684" s="51" t="n">
        <v>0.675</v>
      </c>
      <c r="B684" s="52">
        <f>$B$3*A684^2</f>
        <v/>
      </c>
      <c r="C684" s="52">
        <f>IF($B$4=3,IF(B684&lt;=0.5,1,(1-B684)/B684),IF($B$4=4,IF(B684&lt;=1/3,1,(-B684+SQRT(4*B684-3*B684^2))/(2*B684)),1))</f>
        <v/>
      </c>
      <c r="D684" s="51">
        <f>IF(A684&gt;$B$6+0.0000001,1E+30,$B$5*IF($B$4=3,1.5*(1-C684)^3,IF($B$4=4,2*(1-C684)^4+6*C684*(1-C684)^3,0)))</f>
        <v/>
      </c>
    </row>
    <row r="685">
      <c r="A685" s="51" t="n">
        <v>0.676</v>
      </c>
      <c r="B685" s="52">
        <f>$B$3*A685^2</f>
        <v/>
      </c>
      <c r="C685" s="52">
        <f>IF($B$4=3,IF(B685&lt;=0.5,1,(1-B685)/B685),IF($B$4=4,IF(B685&lt;=1/3,1,(-B685+SQRT(4*B685-3*B685^2))/(2*B685)),1))</f>
        <v/>
      </c>
      <c r="D685" s="51">
        <f>IF(A685&gt;$B$6+0.0000001,1E+30,$B$5*IF($B$4=3,1.5*(1-C685)^3,IF($B$4=4,2*(1-C685)^4+6*C685*(1-C685)^3,0)))</f>
        <v/>
      </c>
    </row>
    <row r="686">
      <c r="A686" s="51" t="n">
        <v>0.677</v>
      </c>
      <c r="B686" s="52">
        <f>$B$3*A686^2</f>
        <v/>
      </c>
      <c r="C686" s="52">
        <f>IF($B$4=3,IF(B686&lt;=0.5,1,(1-B686)/B686),IF($B$4=4,IF(B686&lt;=1/3,1,(-B686+SQRT(4*B686-3*B686^2))/(2*B686)),1))</f>
        <v/>
      </c>
      <c r="D686" s="51">
        <f>IF(A686&gt;$B$6+0.0000001,1E+30,$B$5*IF($B$4=3,1.5*(1-C686)^3,IF($B$4=4,2*(1-C686)^4+6*C686*(1-C686)^3,0)))</f>
        <v/>
      </c>
    </row>
    <row r="687">
      <c r="A687" s="51" t="n">
        <v>0.678</v>
      </c>
      <c r="B687" s="52">
        <f>$B$3*A687^2</f>
        <v/>
      </c>
      <c r="C687" s="52">
        <f>IF($B$4=3,IF(B687&lt;=0.5,1,(1-B687)/B687),IF($B$4=4,IF(B687&lt;=1/3,1,(-B687+SQRT(4*B687-3*B687^2))/(2*B687)),1))</f>
        <v/>
      </c>
      <c r="D687" s="51">
        <f>IF(A687&gt;$B$6+0.0000001,1E+30,$B$5*IF($B$4=3,1.5*(1-C687)^3,IF($B$4=4,2*(1-C687)^4+6*C687*(1-C687)^3,0)))</f>
        <v/>
      </c>
    </row>
    <row r="688">
      <c r="A688" s="51" t="n">
        <v>0.679</v>
      </c>
      <c r="B688" s="52">
        <f>$B$3*A688^2</f>
        <v/>
      </c>
      <c r="C688" s="52">
        <f>IF($B$4=3,IF(B688&lt;=0.5,1,(1-B688)/B688),IF($B$4=4,IF(B688&lt;=1/3,1,(-B688+SQRT(4*B688-3*B688^2))/(2*B688)),1))</f>
        <v/>
      </c>
      <c r="D688" s="51">
        <f>IF(A688&gt;$B$6+0.0000001,1E+30,$B$5*IF($B$4=3,1.5*(1-C688)^3,IF($B$4=4,2*(1-C688)^4+6*C688*(1-C688)^3,0)))</f>
        <v/>
      </c>
    </row>
    <row r="689">
      <c r="A689" s="51" t="n">
        <v>0.68</v>
      </c>
      <c r="B689" s="52">
        <f>$B$3*A689^2</f>
        <v/>
      </c>
      <c r="C689" s="52">
        <f>IF($B$4=3,IF(B689&lt;=0.5,1,(1-B689)/B689),IF($B$4=4,IF(B689&lt;=1/3,1,(-B689+SQRT(4*B689-3*B689^2))/(2*B689)),1))</f>
        <v/>
      </c>
      <c r="D689" s="51">
        <f>IF(A689&gt;$B$6+0.0000001,1E+30,$B$5*IF($B$4=3,1.5*(1-C689)^3,IF($B$4=4,2*(1-C689)^4+6*C689*(1-C689)^3,0)))</f>
        <v/>
      </c>
    </row>
    <row r="690">
      <c r="A690" s="51" t="n">
        <v>0.681</v>
      </c>
      <c r="B690" s="52">
        <f>$B$3*A690^2</f>
        <v/>
      </c>
      <c r="C690" s="52">
        <f>IF($B$4=3,IF(B690&lt;=0.5,1,(1-B690)/B690),IF($B$4=4,IF(B690&lt;=1/3,1,(-B690+SQRT(4*B690-3*B690^2))/(2*B690)),1))</f>
        <v/>
      </c>
      <c r="D690" s="51">
        <f>IF(A690&gt;$B$6+0.0000001,1E+30,$B$5*IF($B$4=3,1.5*(1-C690)^3,IF($B$4=4,2*(1-C690)^4+6*C690*(1-C690)^3,0)))</f>
        <v/>
      </c>
    </row>
    <row r="691">
      <c r="A691" s="51" t="n">
        <v>0.6820000000000001</v>
      </c>
      <c r="B691" s="52">
        <f>$B$3*A691^2</f>
        <v/>
      </c>
      <c r="C691" s="52">
        <f>IF($B$4=3,IF(B691&lt;=0.5,1,(1-B691)/B691),IF($B$4=4,IF(B691&lt;=1/3,1,(-B691+SQRT(4*B691-3*B691^2))/(2*B691)),1))</f>
        <v/>
      </c>
      <c r="D691" s="51">
        <f>IF(A691&gt;$B$6+0.0000001,1E+30,$B$5*IF($B$4=3,1.5*(1-C691)^3,IF($B$4=4,2*(1-C691)^4+6*C691*(1-C691)^3,0)))</f>
        <v/>
      </c>
    </row>
    <row r="692">
      <c r="A692" s="51" t="n">
        <v>0.6830000000000001</v>
      </c>
      <c r="B692" s="52">
        <f>$B$3*A692^2</f>
        <v/>
      </c>
      <c r="C692" s="52">
        <f>IF($B$4=3,IF(B692&lt;=0.5,1,(1-B692)/B692),IF($B$4=4,IF(B692&lt;=1/3,1,(-B692+SQRT(4*B692-3*B692^2))/(2*B692)),1))</f>
        <v/>
      </c>
      <c r="D692" s="51">
        <f>IF(A692&gt;$B$6+0.0000001,1E+30,$B$5*IF($B$4=3,1.5*(1-C692)^3,IF($B$4=4,2*(1-C692)^4+6*C692*(1-C692)^3,0)))</f>
        <v/>
      </c>
    </row>
    <row r="693">
      <c r="A693" s="51" t="n">
        <v>0.6840000000000001</v>
      </c>
      <c r="B693" s="52">
        <f>$B$3*A693^2</f>
        <v/>
      </c>
      <c r="C693" s="52">
        <f>IF($B$4=3,IF(B693&lt;=0.5,1,(1-B693)/B693),IF($B$4=4,IF(B693&lt;=1/3,1,(-B693+SQRT(4*B693-3*B693^2))/(2*B693)),1))</f>
        <v/>
      </c>
      <c r="D693" s="51">
        <f>IF(A693&gt;$B$6+0.0000001,1E+30,$B$5*IF($B$4=3,1.5*(1-C693)^3,IF($B$4=4,2*(1-C693)^4+6*C693*(1-C693)^3,0)))</f>
        <v/>
      </c>
    </row>
    <row r="694">
      <c r="A694" s="51" t="n">
        <v>0.6850000000000001</v>
      </c>
      <c r="B694" s="52">
        <f>$B$3*A694^2</f>
        <v/>
      </c>
      <c r="C694" s="52">
        <f>IF($B$4=3,IF(B694&lt;=0.5,1,(1-B694)/B694),IF($B$4=4,IF(B694&lt;=1/3,1,(-B694+SQRT(4*B694-3*B694^2))/(2*B694)),1))</f>
        <v/>
      </c>
      <c r="D694" s="51">
        <f>IF(A694&gt;$B$6+0.0000001,1E+30,$B$5*IF($B$4=3,1.5*(1-C694)^3,IF($B$4=4,2*(1-C694)^4+6*C694*(1-C694)^3,0)))</f>
        <v/>
      </c>
    </row>
    <row r="695">
      <c r="A695" s="51" t="n">
        <v>0.6860000000000001</v>
      </c>
      <c r="B695" s="52">
        <f>$B$3*A695^2</f>
        <v/>
      </c>
      <c r="C695" s="52">
        <f>IF($B$4=3,IF(B695&lt;=0.5,1,(1-B695)/B695),IF($B$4=4,IF(B695&lt;=1/3,1,(-B695+SQRT(4*B695-3*B695^2))/(2*B695)),1))</f>
        <v/>
      </c>
      <c r="D695" s="51">
        <f>IF(A695&gt;$B$6+0.0000001,1E+30,$B$5*IF($B$4=3,1.5*(1-C695)^3,IF($B$4=4,2*(1-C695)^4+6*C695*(1-C695)^3,0)))</f>
        <v/>
      </c>
    </row>
    <row r="696">
      <c r="A696" s="51" t="n">
        <v>0.6870000000000001</v>
      </c>
      <c r="B696" s="52">
        <f>$B$3*A696^2</f>
        <v/>
      </c>
      <c r="C696" s="52">
        <f>IF($B$4=3,IF(B696&lt;=0.5,1,(1-B696)/B696),IF($B$4=4,IF(B696&lt;=1/3,1,(-B696+SQRT(4*B696-3*B696^2))/(2*B696)),1))</f>
        <v/>
      </c>
      <c r="D696" s="51">
        <f>IF(A696&gt;$B$6+0.0000001,1E+30,$B$5*IF($B$4=3,1.5*(1-C696)^3,IF($B$4=4,2*(1-C696)^4+6*C696*(1-C696)^3,0)))</f>
        <v/>
      </c>
    </row>
    <row r="697">
      <c r="A697" s="51" t="n">
        <v>0.6879999999999999</v>
      </c>
      <c r="B697" s="52">
        <f>$B$3*A697^2</f>
        <v/>
      </c>
      <c r="C697" s="52">
        <f>IF($B$4=3,IF(B697&lt;=0.5,1,(1-B697)/B697),IF($B$4=4,IF(B697&lt;=1/3,1,(-B697+SQRT(4*B697-3*B697^2))/(2*B697)),1))</f>
        <v/>
      </c>
      <c r="D697" s="51">
        <f>IF(A697&gt;$B$6+0.0000001,1E+30,$B$5*IF($B$4=3,1.5*(1-C697)^3,IF($B$4=4,2*(1-C697)^4+6*C697*(1-C697)^3,0)))</f>
        <v/>
      </c>
    </row>
    <row r="698">
      <c r="A698" s="51" t="n">
        <v>0.6889999999999999</v>
      </c>
      <c r="B698" s="52">
        <f>$B$3*A698^2</f>
        <v/>
      </c>
      <c r="C698" s="52">
        <f>IF($B$4=3,IF(B698&lt;=0.5,1,(1-B698)/B698),IF($B$4=4,IF(B698&lt;=1/3,1,(-B698+SQRT(4*B698-3*B698^2))/(2*B698)),1))</f>
        <v/>
      </c>
      <c r="D698" s="51">
        <f>IF(A698&gt;$B$6+0.0000001,1E+30,$B$5*IF($B$4=3,1.5*(1-C698)^3,IF($B$4=4,2*(1-C698)^4+6*C698*(1-C698)^3,0)))</f>
        <v/>
      </c>
    </row>
    <row r="699">
      <c r="A699" s="51" t="n">
        <v>0.6899999999999999</v>
      </c>
      <c r="B699" s="52">
        <f>$B$3*A699^2</f>
        <v/>
      </c>
      <c r="C699" s="52">
        <f>IF($B$4=3,IF(B699&lt;=0.5,1,(1-B699)/B699),IF($B$4=4,IF(B699&lt;=1/3,1,(-B699+SQRT(4*B699-3*B699^2))/(2*B699)),1))</f>
        <v/>
      </c>
      <c r="D699" s="51">
        <f>IF(A699&gt;$B$6+0.0000001,1E+30,$B$5*IF($B$4=3,1.5*(1-C699)^3,IF($B$4=4,2*(1-C699)^4+6*C699*(1-C699)^3,0)))</f>
        <v/>
      </c>
    </row>
    <row r="700">
      <c r="A700" s="51" t="n">
        <v>0.6909999999999999</v>
      </c>
      <c r="B700" s="52">
        <f>$B$3*A700^2</f>
        <v/>
      </c>
      <c r="C700" s="52">
        <f>IF($B$4=3,IF(B700&lt;=0.5,1,(1-B700)/B700),IF($B$4=4,IF(B700&lt;=1/3,1,(-B700+SQRT(4*B700-3*B700^2))/(2*B700)),1))</f>
        <v/>
      </c>
      <c r="D700" s="51">
        <f>IF(A700&gt;$B$6+0.0000001,1E+30,$B$5*IF($B$4=3,1.5*(1-C700)^3,IF($B$4=4,2*(1-C700)^4+6*C700*(1-C700)^3,0)))</f>
        <v/>
      </c>
    </row>
    <row r="701">
      <c r="A701" s="51" t="n">
        <v>0.6919999999999999</v>
      </c>
      <c r="B701" s="52">
        <f>$B$3*A701^2</f>
        <v/>
      </c>
      <c r="C701" s="52">
        <f>IF($B$4=3,IF(B701&lt;=0.5,1,(1-B701)/B701),IF($B$4=4,IF(B701&lt;=1/3,1,(-B701+SQRT(4*B701-3*B701^2))/(2*B701)),1))</f>
        <v/>
      </c>
      <c r="D701" s="51">
        <f>IF(A701&gt;$B$6+0.0000001,1E+30,$B$5*IF($B$4=3,1.5*(1-C701)^3,IF($B$4=4,2*(1-C701)^4+6*C701*(1-C701)^3,0)))</f>
        <v/>
      </c>
    </row>
    <row r="702">
      <c r="A702" s="51" t="n">
        <v>0.6929999999999999</v>
      </c>
      <c r="B702" s="52">
        <f>$B$3*A702^2</f>
        <v/>
      </c>
      <c r="C702" s="52">
        <f>IF($B$4=3,IF(B702&lt;=0.5,1,(1-B702)/B702),IF($B$4=4,IF(B702&lt;=1/3,1,(-B702+SQRT(4*B702-3*B702^2))/(2*B702)),1))</f>
        <v/>
      </c>
      <c r="D702" s="51">
        <f>IF(A702&gt;$B$6+0.0000001,1E+30,$B$5*IF($B$4=3,1.5*(1-C702)^3,IF($B$4=4,2*(1-C702)^4+6*C702*(1-C702)^3,0)))</f>
        <v/>
      </c>
    </row>
    <row r="703">
      <c r="A703" s="51" t="n">
        <v>0.694</v>
      </c>
      <c r="B703" s="52">
        <f>$B$3*A703^2</f>
        <v/>
      </c>
      <c r="C703" s="52">
        <f>IF($B$4=3,IF(B703&lt;=0.5,1,(1-B703)/B703),IF($B$4=4,IF(B703&lt;=1/3,1,(-B703+SQRT(4*B703-3*B703^2))/(2*B703)),1))</f>
        <v/>
      </c>
      <c r="D703" s="51">
        <f>IF(A703&gt;$B$6+0.0000001,1E+30,$B$5*IF($B$4=3,1.5*(1-C703)^3,IF($B$4=4,2*(1-C703)^4+6*C703*(1-C703)^3,0)))</f>
        <v/>
      </c>
    </row>
    <row r="704">
      <c r="A704" s="51" t="n">
        <v>0.695</v>
      </c>
      <c r="B704" s="52">
        <f>$B$3*A704^2</f>
        <v/>
      </c>
      <c r="C704" s="52">
        <f>IF($B$4=3,IF(B704&lt;=0.5,1,(1-B704)/B704),IF($B$4=4,IF(B704&lt;=1/3,1,(-B704+SQRT(4*B704-3*B704^2))/(2*B704)),1))</f>
        <v/>
      </c>
      <c r="D704" s="51">
        <f>IF(A704&gt;$B$6+0.0000001,1E+30,$B$5*IF($B$4=3,1.5*(1-C704)^3,IF($B$4=4,2*(1-C704)^4+6*C704*(1-C704)^3,0)))</f>
        <v/>
      </c>
    </row>
    <row r="705">
      <c r="A705" s="51" t="n">
        <v>0.696</v>
      </c>
      <c r="B705" s="52">
        <f>$B$3*A705^2</f>
        <v/>
      </c>
      <c r="C705" s="52">
        <f>IF($B$4=3,IF(B705&lt;=0.5,1,(1-B705)/B705),IF($B$4=4,IF(B705&lt;=1/3,1,(-B705+SQRT(4*B705-3*B705^2))/(2*B705)),1))</f>
        <v/>
      </c>
      <c r="D705" s="51">
        <f>IF(A705&gt;$B$6+0.0000001,1E+30,$B$5*IF($B$4=3,1.5*(1-C705)^3,IF($B$4=4,2*(1-C705)^4+6*C705*(1-C705)^3,0)))</f>
        <v/>
      </c>
    </row>
    <row r="706">
      <c r="A706" s="51" t="n">
        <v>0.697</v>
      </c>
      <c r="B706" s="52">
        <f>$B$3*A706^2</f>
        <v/>
      </c>
      <c r="C706" s="52">
        <f>IF($B$4=3,IF(B706&lt;=0.5,1,(1-B706)/B706),IF($B$4=4,IF(B706&lt;=1/3,1,(-B706+SQRT(4*B706-3*B706^2))/(2*B706)),1))</f>
        <v/>
      </c>
      <c r="D706" s="51">
        <f>IF(A706&gt;$B$6+0.0000001,1E+30,$B$5*IF($B$4=3,1.5*(1-C706)^3,IF($B$4=4,2*(1-C706)^4+6*C706*(1-C706)^3,0)))</f>
        <v/>
      </c>
    </row>
    <row r="707">
      <c r="A707" s="51" t="n">
        <v>0.698</v>
      </c>
      <c r="B707" s="52">
        <f>$B$3*A707^2</f>
        <v/>
      </c>
      <c r="C707" s="52">
        <f>IF($B$4=3,IF(B707&lt;=0.5,1,(1-B707)/B707),IF($B$4=4,IF(B707&lt;=1/3,1,(-B707+SQRT(4*B707-3*B707^2))/(2*B707)),1))</f>
        <v/>
      </c>
      <c r="D707" s="51">
        <f>IF(A707&gt;$B$6+0.0000001,1E+30,$B$5*IF($B$4=3,1.5*(1-C707)^3,IF($B$4=4,2*(1-C707)^4+6*C707*(1-C707)^3,0)))</f>
        <v/>
      </c>
    </row>
    <row r="708">
      <c r="A708" s="51" t="n">
        <v>0.699</v>
      </c>
      <c r="B708" s="52">
        <f>$B$3*A708^2</f>
        <v/>
      </c>
      <c r="C708" s="52">
        <f>IF($B$4=3,IF(B708&lt;=0.5,1,(1-B708)/B708),IF($B$4=4,IF(B708&lt;=1/3,1,(-B708+SQRT(4*B708-3*B708^2))/(2*B708)),1))</f>
        <v/>
      </c>
      <c r="D708" s="51">
        <f>IF(A708&gt;$B$6+0.0000001,1E+30,$B$5*IF($B$4=3,1.5*(1-C708)^3,IF($B$4=4,2*(1-C708)^4+6*C708*(1-C708)^3,0)))</f>
        <v/>
      </c>
    </row>
    <row r="709">
      <c r="A709" s="51" t="n">
        <v>0.7</v>
      </c>
      <c r="B709" s="52">
        <f>$B$3*A709^2</f>
        <v/>
      </c>
      <c r="C709" s="52">
        <f>IF($B$4=3,IF(B709&lt;=0.5,1,(1-B709)/B709),IF($B$4=4,IF(B709&lt;=1/3,1,(-B709+SQRT(4*B709-3*B709^2))/(2*B709)),1))</f>
        <v/>
      </c>
      <c r="D709" s="51">
        <f>IF(A709&gt;$B$6+0.0000001,1E+30,$B$5*IF($B$4=3,1.5*(1-C709)^3,IF($B$4=4,2*(1-C709)^4+6*C709*(1-C709)^3,0)))</f>
        <v/>
      </c>
    </row>
    <row r="710">
      <c r="A710" s="51" t="n">
        <v>0.701</v>
      </c>
      <c r="B710" s="52">
        <f>$B$3*A710^2</f>
        <v/>
      </c>
      <c r="C710" s="52">
        <f>IF($B$4=3,IF(B710&lt;=0.5,1,(1-B710)/B710),IF($B$4=4,IF(B710&lt;=1/3,1,(-B710+SQRT(4*B710-3*B710^2))/(2*B710)),1))</f>
        <v/>
      </c>
      <c r="D710" s="51">
        <f>IF(A710&gt;$B$6+0.0000001,1E+30,$B$5*IF($B$4=3,1.5*(1-C710)^3,IF($B$4=4,2*(1-C710)^4+6*C710*(1-C710)^3,0)))</f>
        <v/>
      </c>
    </row>
    <row r="711">
      <c r="A711" s="51" t="n">
        <v>0.702</v>
      </c>
      <c r="B711" s="52">
        <f>$B$3*A711^2</f>
        <v/>
      </c>
      <c r="C711" s="52">
        <f>IF($B$4=3,IF(B711&lt;=0.5,1,(1-B711)/B711),IF($B$4=4,IF(B711&lt;=1/3,1,(-B711+SQRT(4*B711-3*B711^2))/(2*B711)),1))</f>
        <v/>
      </c>
      <c r="D711" s="51">
        <f>IF(A711&gt;$B$6+0.0000001,1E+30,$B$5*IF($B$4=3,1.5*(1-C711)^3,IF($B$4=4,2*(1-C711)^4+6*C711*(1-C711)^3,0)))</f>
        <v/>
      </c>
    </row>
    <row r="712">
      <c r="A712" s="51" t="n">
        <v>0.703</v>
      </c>
      <c r="B712" s="52">
        <f>$B$3*A712^2</f>
        <v/>
      </c>
      <c r="C712" s="52">
        <f>IF($B$4=3,IF(B712&lt;=0.5,1,(1-B712)/B712),IF($B$4=4,IF(B712&lt;=1/3,1,(-B712+SQRT(4*B712-3*B712^2))/(2*B712)),1))</f>
        <v/>
      </c>
      <c r="D712" s="51">
        <f>IF(A712&gt;$B$6+0.0000001,1E+30,$B$5*IF($B$4=3,1.5*(1-C712)^3,IF($B$4=4,2*(1-C712)^4+6*C712*(1-C712)^3,0)))</f>
        <v/>
      </c>
    </row>
    <row r="713">
      <c r="A713" s="51" t="n">
        <v>0.704</v>
      </c>
      <c r="B713" s="52">
        <f>$B$3*A713^2</f>
        <v/>
      </c>
      <c r="C713" s="52">
        <f>IF($B$4=3,IF(B713&lt;=0.5,1,(1-B713)/B713),IF($B$4=4,IF(B713&lt;=1/3,1,(-B713+SQRT(4*B713-3*B713^2))/(2*B713)),1))</f>
        <v/>
      </c>
      <c r="D713" s="51">
        <f>IF(A713&gt;$B$6+0.0000001,1E+30,$B$5*IF($B$4=3,1.5*(1-C713)^3,IF($B$4=4,2*(1-C713)^4+6*C713*(1-C713)^3,0)))</f>
        <v/>
      </c>
    </row>
    <row r="714">
      <c r="A714" s="51" t="n">
        <v>0.705</v>
      </c>
      <c r="B714" s="52">
        <f>$B$3*A714^2</f>
        <v/>
      </c>
      <c r="C714" s="52">
        <f>IF($B$4=3,IF(B714&lt;=0.5,1,(1-B714)/B714),IF($B$4=4,IF(B714&lt;=1/3,1,(-B714+SQRT(4*B714-3*B714^2))/(2*B714)),1))</f>
        <v/>
      </c>
      <c r="D714" s="51">
        <f>IF(A714&gt;$B$6+0.0000001,1E+30,$B$5*IF($B$4=3,1.5*(1-C714)^3,IF($B$4=4,2*(1-C714)^4+6*C714*(1-C714)^3,0)))</f>
        <v/>
      </c>
    </row>
    <row r="715">
      <c r="A715" s="51" t="n">
        <v>0.706</v>
      </c>
      <c r="B715" s="52">
        <f>$B$3*A715^2</f>
        <v/>
      </c>
      <c r="C715" s="52">
        <f>IF($B$4=3,IF(B715&lt;=0.5,1,(1-B715)/B715),IF($B$4=4,IF(B715&lt;=1/3,1,(-B715+SQRT(4*B715-3*B715^2))/(2*B715)),1))</f>
        <v/>
      </c>
      <c r="D715" s="51">
        <f>IF(A715&gt;$B$6+0.0000001,1E+30,$B$5*IF($B$4=3,1.5*(1-C715)^3,IF($B$4=4,2*(1-C715)^4+6*C715*(1-C715)^3,0)))</f>
        <v/>
      </c>
    </row>
    <row r="716">
      <c r="A716" s="51" t="n">
        <v>0.707</v>
      </c>
      <c r="B716" s="52">
        <f>$B$3*A716^2</f>
        <v/>
      </c>
      <c r="C716" s="52">
        <f>IF($B$4=3,IF(B716&lt;=0.5,1,(1-B716)/B716),IF($B$4=4,IF(B716&lt;=1/3,1,(-B716+SQRT(4*B716-3*B716^2))/(2*B716)),1))</f>
        <v/>
      </c>
      <c r="D716" s="51">
        <f>IF(A716&gt;$B$6+0.0000001,1E+30,$B$5*IF($B$4=3,1.5*(1-C716)^3,IF($B$4=4,2*(1-C716)^4+6*C716*(1-C716)^3,0)))</f>
        <v/>
      </c>
    </row>
    <row r="717">
      <c r="A717" s="51" t="n">
        <v>0.708</v>
      </c>
      <c r="B717" s="52">
        <f>$B$3*A717^2</f>
        <v/>
      </c>
      <c r="C717" s="52">
        <f>IF($B$4=3,IF(B717&lt;=0.5,1,(1-B717)/B717),IF($B$4=4,IF(B717&lt;=1/3,1,(-B717+SQRT(4*B717-3*B717^2))/(2*B717)),1))</f>
        <v/>
      </c>
      <c r="D717" s="51">
        <f>IF(A717&gt;$B$6+0.0000001,1E+30,$B$5*IF($B$4=3,1.5*(1-C717)^3,IF($B$4=4,2*(1-C717)^4+6*C717*(1-C717)^3,0)))</f>
        <v/>
      </c>
    </row>
    <row r="718">
      <c r="A718" s="51" t="n">
        <v>0.709</v>
      </c>
      <c r="B718" s="52">
        <f>$B$3*A718^2</f>
        <v/>
      </c>
      <c r="C718" s="52">
        <f>IF($B$4=3,IF(B718&lt;=0.5,1,(1-B718)/B718),IF($B$4=4,IF(B718&lt;=1/3,1,(-B718+SQRT(4*B718-3*B718^2))/(2*B718)),1))</f>
        <v/>
      </c>
      <c r="D718" s="51">
        <f>IF(A718&gt;$B$6+0.0000001,1E+30,$B$5*IF($B$4=3,1.5*(1-C718)^3,IF($B$4=4,2*(1-C718)^4+6*C718*(1-C718)^3,0)))</f>
        <v/>
      </c>
    </row>
    <row r="719">
      <c r="A719" s="51" t="n">
        <v>0.71</v>
      </c>
      <c r="B719" s="52">
        <f>$B$3*A719^2</f>
        <v/>
      </c>
      <c r="C719" s="52">
        <f>IF($B$4=3,IF(B719&lt;=0.5,1,(1-B719)/B719),IF($B$4=4,IF(B719&lt;=1/3,1,(-B719+SQRT(4*B719-3*B719^2))/(2*B719)),1))</f>
        <v/>
      </c>
      <c r="D719" s="51">
        <f>IF(A719&gt;$B$6+0.0000001,1E+30,$B$5*IF($B$4=3,1.5*(1-C719)^3,IF($B$4=4,2*(1-C719)^4+6*C719*(1-C719)^3,0)))</f>
        <v/>
      </c>
    </row>
    <row r="720">
      <c r="A720" s="51" t="n">
        <v>0.711</v>
      </c>
      <c r="B720" s="52">
        <f>$B$3*A720^2</f>
        <v/>
      </c>
      <c r="C720" s="52">
        <f>IF($B$4=3,IF(B720&lt;=0.5,1,(1-B720)/B720),IF($B$4=4,IF(B720&lt;=1/3,1,(-B720+SQRT(4*B720-3*B720^2))/(2*B720)),1))</f>
        <v/>
      </c>
      <c r="D720" s="51">
        <f>IF(A720&gt;$B$6+0.0000001,1E+30,$B$5*IF($B$4=3,1.5*(1-C720)^3,IF($B$4=4,2*(1-C720)^4+6*C720*(1-C720)^3,0)))</f>
        <v/>
      </c>
    </row>
    <row r="721">
      <c r="A721" s="51" t="n">
        <v>0.712</v>
      </c>
      <c r="B721" s="52">
        <f>$B$3*A721^2</f>
        <v/>
      </c>
      <c r="C721" s="52">
        <f>IF($B$4=3,IF(B721&lt;=0.5,1,(1-B721)/B721),IF($B$4=4,IF(B721&lt;=1/3,1,(-B721+SQRT(4*B721-3*B721^2))/(2*B721)),1))</f>
        <v/>
      </c>
      <c r="D721" s="51">
        <f>IF(A721&gt;$B$6+0.0000001,1E+30,$B$5*IF($B$4=3,1.5*(1-C721)^3,IF($B$4=4,2*(1-C721)^4+6*C721*(1-C721)^3,0)))</f>
        <v/>
      </c>
    </row>
    <row r="722">
      <c r="A722" s="51" t="n">
        <v>0.713</v>
      </c>
      <c r="B722" s="52">
        <f>$B$3*A722^2</f>
        <v/>
      </c>
      <c r="C722" s="52">
        <f>IF($B$4=3,IF(B722&lt;=0.5,1,(1-B722)/B722),IF($B$4=4,IF(B722&lt;=1/3,1,(-B722+SQRT(4*B722-3*B722^2))/(2*B722)),1))</f>
        <v/>
      </c>
      <c r="D722" s="51">
        <f>IF(A722&gt;$B$6+0.0000001,1E+30,$B$5*IF($B$4=3,1.5*(1-C722)^3,IF($B$4=4,2*(1-C722)^4+6*C722*(1-C722)^3,0)))</f>
        <v/>
      </c>
    </row>
    <row r="723">
      <c r="A723" s="51" t="n">
        <v>0.714</v>
      </c>
      <c r="B723" s="52">
        <f>$B$3*A723^2</f>
        <v/>
      </c>
      <c r="C723" s="52">
        <f>IF($B$4=3,IF(B723&lt;=0.5,1,(1-B723)/B723),IF($B$4=4,IF(B723&lt;=1/3,1,(-B723+SQRT(4*B723-3*B723^2))/(2*B723)),1))</f>
        <v/>
      </c>
      <c r="D723" s="51">
        <f>IF(A723&gt;$B$6+0.0000001,1E+30,$B$5*IF($B$4=3,1.5*(1-C723)^3,IF($B$4=4,2*(1-C723)^4+6*C723*(1-C723)^3,0)))</f>
        <v/>
      </c>
    </row>
    <row r="724">
      <c r="A724" s="51" t="n">
        <v>0.715</v>
      </c>
      <c r="B724" s="52">
        <f>$B$3*A724^2</f>
        <v/>
      </c>
      <c r="C724" s="52">
        <f>IF($B$4=3,IF(B724&lt;=0.5,1,(1-B724)/B724),IF($B$4=4,IF(B724&lt;=1/3,1,(-B724+SQRT(4*B724-3*B724^2))/(2*B724)),1))</f>
        <v/>
      </c>
      <c r="D724" s="51">
        <f>IF(A724&gt;$B$6+0.0000001,1E+30,$B$5*IF($B$4=3,1.5*(1-C724)^3,IF($B$4=4,2*(1-C724)^4+6*C724*(1-C724)^3,0)))</f>
        <v/>
      </c>
    </row>
    <row r="725">
      <c r="A725" s="51" t="n">
        <v>0.716</v>
      </c>
      <c r="B725" s="52">
        <f>$B$3*A725^2</f>
        <v/>
      </c>
      <c r="C725" s="52">
        <f>IF($B$4=3,IF(B725&lt;=0.5,1,(1-B725)/B725),IF($B$4=4,IF(B725&lt;=1/3,1,(-B725+SQRT(4*B725-3*B725^2))/(2*B725)),1))</f>
        <v/>
      </c>
      <c r="D725" s="51">
        <f>IF(A725&gt;$B$6+0.0000001,1E+30,$B$5*IF($B$4=3,1.5*(1-C725)^3,IF($B$4=4,2*(1-C725)^4+6*C725*(1-C725)^3,0)))</f>
        <v/>
      </c>
    </row>
    <row r="726">
      <c r="A726" s="51" t="n">
        <v>0.717</v>
      </c>
      <c r="B726" s="52">
        <f>$B$3*A726^2</f>
        <v/>
      </c>
      <c r="C726" s="52">
        <f>IF($B$4=3,IF(B726&lt;=0.5,1,(1-B726)/B726),IF($B$4=4,IF(B726&lt;=1/3,1,(-B726+SQRT(4*B726-3*B726^2))/(2*B726)),1))</f>
        <v/>
      </c>
      <c r="D726" s="51">
        <f>IF(A726&gt;$B$6+0.0000001,1E+30,$B$5*IF($B$4=3,1.5*(1-C726)^3,IF($B$4=4,2*(1-C726)^4+6*C726*(1-C726)^3,0)))</f>
        <v/>
      </c>
    </row>
    <row r="727">
      <c r="A727" s="51" t="n">
        <v>0.718</v>
      </c>
      <c r="B727" s="52">
        <f>$B$3*A727^2</f>
        <v/>
      </c>
      <c r="C727" s="52">
        <f>IF($B$4=3,IF(B727&lt;=0.5,1,(1-B727)/B727),IF($B$4=4,IF(B727&lt;=1/3,1,(-B727+SQRT(4*B727-3*B727^2))/(2*B727)),1))</f>
        <v/>
      </c>
      <c r="D727" s="51">
        <f>IF(A727&gt;$B$6+0.0000001,1E+30,$B$5*IF($B$4=3,1.5*(1-C727)^3,IF($B$4=4,2*(1-C727)^4+6*C727*(1-C727)^3,0)))</f>
        <v/>
      </c>
    </row>
    <row r="728">
      <c r="A728" s="51" t="n">
        <v>0.719</v>
      </c>
      <c r="B728" s="52">
        <f>$B$3*A728^2</f>
        <v/>
      </c>
      <c r="C728" s="52">
        <f>IF($B$4=3,IF(B728&lt;=0.5,1,(1-B728)/B728),IF($B$4=4,IF(B728&lt;=1/3,1,(-B728+SQRT(4*B728-3*B728^2))/(2*B728)),1))</f>
        <v/>
      </c>
      <c r="D728" s="51">
        <f>IF(A728&gt;$B$6+0.0000001,1E+30,$B$5*IF($B$4=3,1.5*(1-C728)^3,IF($B$4=4,2*(1-C728)^4+6*C728*(1-C728)^3,0)))</f>
        <v/>
      </c>
    </row>
    <row r="729">
      <c r="A729" s="51" t="n">
        <v>0.72</v>
      </c>
      <c r="B729" s="52">
        <f>$B$3*A729^2</f>
        <v/>
      </c>
      <c r="C729" s="52">
        <f>IF($B$4=3,IF(B729&lt;=0.5,1,(1-B729)/B729),IF($B$4=4,IF(B729&lt;=1/3,1,(-B729+SQRT(4*B729-3*B729^2))/(2*B729)),1))</f>
        <v/>
      </c>
      <c r="D729" s="51">
        <f>IF(A729&gt;$B$6+0.0000001,1E+30,$B$5*IF($B$4=3,1.5*(1-C729)^3,IF($B$4=4,2*(1-C729)^4+6*C729*(1-C729)^3,0)))</f>
        <v/>
      </c>
    </row>
    <row r="730">
      <c r="A730" s="51" t="n">
        <v>0.721</v>
      </c>
      <c r="B730" s="52">
        <f>$B$3*A730^2</f>
        <v/>
      </c>
      <c r="C730" s="52">
        <f>IF($B$4=3,IF(B730&lt;=0.5,1,(1-B730)/B730),IF($B$4=4,IF(B730&lt;=1/3,1,(-B730+SQRT(4*B730-3*B730^2))/(2*B730)),1))</f>
        <v/>
      </c>
      <c r="D730" s="51">
        <f>IF(A730&gt;$B$6+0.0000001,1E+30,$B$5*IF($B$4=3,1.5*(1-C730)^3,IF($B$4=4,2*(1-C730)^4+6*C730*(1-C730)^3,0)))</f>
        <v/>
      </c>
    </row>
    <row r="731">
      <c r="A731" s="51" t="n">
        <v>0.722</v>
      </c>
      <c r="B731" s="52">
        <f>$B$3*A731^2</f>
        <v/>
      </c>
      <c r="C731" s="52">
        <f>IF($B$4=3,IF(B731&lt;=0.5,1,(1-B731)/B731),IF($B$4=4,IF(B731&lt;=1/3,1,(-B731+SQRT(4*B731-3*B731^2))/(2*B731)),1))</f>
        <v/>
      </c>
      <c r="D731" s="51">
        <f>IF(A731&gt;$B$6+0.0000001,1E+30,$B$5*IF($B$4=3,1.5*(1-C731)^3,IF($B$4=4,2*(1-C731)^4+6*C731*(1-C731)^3,0)))</f>
        <v/>
      </c>
    </row>
    <row r="732">
      <c r="A732" s="51" t="n">
        <v>0.723</v>
      </c>
      <c r="B732" s="52">
        <f>$B$3*A732^2</f>
        <v/>
      </c>
      <c r="C732" s="52">
        <f>IF($B$4=3,IF(B732&lt;=0.5,1,(1-B732)/B732),IF($B$4=4,IF(B732&lt;=1/3,1,(-B732+SQRT(4*B732-3*B732^2))/(2*B732)),1))</f>
        <v/>
      </c>
      <c r="D732" s="51">
        <f>IF(A732&gt;$B$6+0.0000001,1E+30,$B$5*IF($B$4=3,1.5*(1-C732)^3,IF($B$4=4,2*(1-C732)^4+6*C732*(1-C732)^3,0)))</f>
        <v/>
      </c>
    </row>
    <row r="733">
      <c r="A733" s="51" t="n">
        <v>0.724</v>
      </c>
      <c r="B733" s="52">
        <f>$B$3*A733^2</f>
        <v/>
      </c>
      <c r="C733" s="52">
        <f>IF($B$4=3,IF(B733&lt;=0.5,1,(1-B733)/B733),IF($B$4=4,IF(B733&lt;=1/3,1,(-B733+SQRT(4*B733-3*B733^2))/(2*B733)),1))</f>
        <v/>
      </c>
      <c r="D733" s="51">
        <f>IF(A733&gt;$B$6+0.0000001,1E+30,$B$5*IF($B$4=3,1.5*(1-C733)^3,IF($B$4=4,2*(1-C733)^4+6*C733*(1-C733)^3,0)))</f>
        <v/>
      </c>
    </row>
    <row r="734">
      <c r="A734" s="51" t="n">
        <v>0.725</v>
      </c>
      <c r="B734" s="52">
        <f>$B$3*A734^2</f>
        <v/>
      </c>
      <c r="C734" s="52">
        <f>IF($B$4=3,IF(B734&lt;=0.5,1,(1-B734)/B734),IF($B$4=4,IF(B734&lt;=1/3,1,(-B734+SQRT(4*B734-3*B734^2))/(2*B734)),1))</f>
        <v/>
      </c>
      <c r="D734" s="51">
        <f>IF(A734&gt;$B$6+0.0000001,1E+30,$B$5*IF($B$4=3,1.5*(1-C734)^3,IF($B$4=4,2*(1-C734)^4+6*C734*(1-C734)^3,0)))</f>
        <v/>
      </c>
    </row>
    <row r="735">
      <c r="A735" s="51" t="n">
        <v>0.726</v>
      </c>
      <c r="B735" s="52">
        <f>$B$3*A735^2</f>
        <v/>
      </c>
      <c r="C735" s="52">
        <f>IF($B$4=3,IF(B735&lt;=0.5,1,(1-B735)/B735),IF($B$4=4,IF(B735&lt;=1/3,1,(-B735+SQRT(4*B735-3*B735^2))/(2*B735)),1))</f>
        <v/>
      </c>
      <c r="D735" s="51">
        <f>IF(A735&gt;$B$6+0.0000001,1E+30,$B$5*IF($B$4=3,1.5*(1-C735)^3,IF($B$4=4,2*(1-C735)^4+6*C735*(1-C735)^3,0)))</f>
        <v/>
      </c>
    </row>
    <row r="736">
      <c r="A736" s="51" t="n">
        <v>0.727</v>
      </c>
      <c r="B736" s="52">
        <f>$B$3*A736^2</f>
        <v/>
      </c>
      <c r="C736" s="52">
        <f>IF($B$4=3,IF(B736&lt;=0.5,1,(1-B736)/B736),IF($B$4=4,IF(B736&lt;=1/3,1,(-B736+SQRT(4*B736-3*B736^2))/(2*B736)),1))</f>
        <v/>
      </c>
      <c r="D736" s="51">
        <f>IF(A736&gt;$B$6+0.0000001,1E+30,$B$5*IF($B$4=3,1.5*(1-C736)^3,IF($B$4=4,2*(1-C736)^4+6*C736*(1-C736)^3,0)))</f>
        <v/>
      </c>
    </row>
    <row r="737">
      <c r="A737" s="51" t="n">
        <v>0.728</v>
      </c>
      <c r="B737" s="52">
        <f>$B$3*A737^2</f>
        <v/>
      </c>
      <c r="C737" s="52">
        <f>IF($B$4=3,IF(B737&lt;=0.5,1,(1-B737)/B737),IF($B$4=4,IF(B737&lt;=1/3,1,(-B737+SQRT(4*B737-3*B737^2))/(2*B737)),1))</f>
        <v/>
      </c>
      <c r="D737" s="51">
        <f>IF(A737&gt;$B$6+0.0000001,1E+30,$B$5*IF($B$4=3,1.5*(1-C737)^3,IF($B$4=4,2*(1-C737)^4+6*C737*(1-C737)^3,0)))</f>
        <v/>
      </c>
    </row>
    <row r="738">
      <c r="A738" s="51" t="n">
        <v>0.729</v>
      </c>
      <c r="B738" s="52">
        <f>$B$3*A738^2</f>
        <v/>
      </c>
      <c r="C738" s="52">
        <f>IF($B$4=3,IF(B738&lt;=0.5,1,(1-B738)/B738),IF($B$4=4,IF(B738&lt;=1/3,1,(-B738+SQRT(4*B738-3*B738^2))/(2*B738)),1))</f>
        <v/>
      </c>
      <c r="D738" s="51">
        <f>IF(A738&gt;$B$6+0.0000001,1E+30,$B$5*IF($B$4=3,1.5*(1-C738)^3,IF($B$4=4,2*(1-C738)^4+6*C738*(1-C738)^3,0)))</f>
        <v/>
      </c>
    </row>
    <row r="739">
      <c r="A739" s="51" t="n">
        <v>0.73</v>
      </c>
      <c r="B739" s="52">
        <f>$B$3*A739^2</f>
        <v/>
      </c>
      <c r="C739" s="52">
        <f>IF($B$4=3,IF(B739&lt;=0.5,1,(1-B739)/B739),IF($B$4=4,IF(B739&lt;=1/3,1,(-B739+SQRT(4*B739-3*B739^2))/(2*B739)),1))</f>
        <v/>
      </c>
      <c r="D739" s="51">
        <f>IF(A739&gt;$B$6+0.0000001,1E+30,$B$5*IF($B$4=3,1.5*(1-C739)^3,IF($B$4=4,2*(1-C739)^4+6*C739*(1-C739)^3,0)))</f>
        <v/>
      </c>
    </row>
    <row r="740">
      <c r="A740" s="51" t="n">
        <v>0.731</v>
      </c>
      <c r="B740" s="52">
        <f>$B$3*A740^2</f>
        <v/>
      </c>
      <c r="C740" s="52">
        <f>IF($B$4=3,IF(B740&lt;=0.5,1,(1-B740)/B740),IF($B$4=4,IF(B740&lt;=1/3,1,(-B740+SQRT(4*B740-3*B740^2))/(2*B740)),1))</f>
        <v/>
      </c>
      <c r="D740" s="51">
        <f>IF(A740&gt;$B$6+0.0000001,1E+30,$B$5*IF($B$4=3,1.5*(1-C740)^3,IF($B$4=4,2*(1-C740)^4+6*C740*(1-C740)^3,0)))</f>
        <v/>
      </c>
    </row>
    <row r="741">
      <c r="A741" s="51" t="n">
        <v>0.732</v>
      </c>
      <c r="B741" s="52">
        <f>$B$3*A741^2</f>
        <v/>
      </c>
      <c r="C741" s="52">
        <f>IF($B$4=3,IF(B741&lt;=0.5,1,(1-B741)/B741),IF($B$4=4,IF(B741&lt;=1/3,1,(-B741+SQRT(4*B741-3*B741^2))/(2*B741)),1))</f>
        <v/>
      </c>
      <c r="D741" s="51">
        <f>IF(A741&gt;$B$6+0.0000001,1E+30,$B$5*IF($B$4=3,1.5*(1-C741)^3,IF($B$4=4,2*(1-C741)^4+6*C741*(1-C741)^3,0)))</f>
        <v/>
      </c>
    </row>
    <row r="742">
      <c r="A742" s="51" t="n">
        <v>0.733</v>
      </c>
      <c r="B742" s="52">
        <f>$B$3*A742^2</f>
        <v/>
      </c>
      <c r="C742" s="52">
        <f>IF($B$4=3,IF(B742&lt;=0.5,1,(1-B742)/B742),IF($B$4=4,IF(B742&lt;=1/3,1,(-B742+SQRT(4*B742-3*B742^2))/(2*B742)),1))</f>
        <v/>
      </c>
      <c r="D742" s="51">
        <f>IF(A742&gt;$B$6+0.0000001,1E+30,$B$5*IF($B$4=3,1.5*(1-C742)^3,IF($B$4=4,2*(1-C742)^4+6*C742*(1-C742)^3,0)))</f>
        <v/>
      </c>
    </row>
    <row r="743">
      <c r="A743" s="51" t="n">
        <v>0.734</v>
      </c>
      <c r="B743" s="52">
        <f>$B$3*A743^2</f>
        <v/>
      </c>
      <c r="C743" s="52">
        <f>IF($B$4=3,IF(B743&lt;=0.5,1,(1-B743)/B743),IF($B$4=4,IF(B743&lt;=1/3,1,(-B743+SQRT(4*B743-3*B743^2))/(2*B743)),1))</f>
        <v/>
      </c>
      <c r="D743" s="51">
        <f>IF(A743&gt;$B$6+0.0000001,1E+30,$B$5*IF($B$4=3,1.5*(1-C743)^3,IF($B$4=4,2*(1-C743)^4+6*C743*(1-C743)^3,0)))</f>
        <v/>
      </c>
    </row>
    <row r="744">
      <c r="A744" s="51" t="n">
        <v>0.735</v>
      </c>
      <c r="B744" s="52">
        <f>$B$3*A744^2</f>
        <v/>
      </c>
      <c r="C744" s="52">
        <f>IF($B$4=3,IF(B744&lt;=0.5,1,(1-B744)/B744),IF($B$4=4,IF(B744&lt;=1/3,1,(-B744+SQRT(4*B744-3*B744^2))/(2*B744)),1))</f>
        <v/>
      </c>
      <c r="D744" s="51">
        <f>IF(A744&gt;$B$6+0.0000001,1E+30,$B$5*IF($B$4=3,1.5*(1-C744)^3,IF($B$4=4,2*(1-C744)^4+6*C744*(1-C744)^3,0)))</f>
        <v/>
      </c>
    </row>
    <row r="745">
      <c r="A745" s="51" t="n">
        <v>0.736</v>
      </c>
      <c r="B745" s="52">
        <f>$B$3*A745^2</f>
        <v/>
      </c>
      <c r="C745" s="52">
        <f>IF($B$4=3,IF(B745&lt;=0.5,1,(1-B745)/B745),IF($B$4=4,IF(B745&lt;=1/3,1,(-B745+SQRT(4*B745-3*B745^2))/(2*B745)),1))</f>
        <v/>
      </c>
      <c r="D745" s="51">
        <f>IF(A745&gt;$B$6+0.0000001,1E+30,$B$5*IF($B$4=3,1.5*(1-C745)^3,IF($B$4=4,2*(1-C745)^4+6*C745*(1-C745)^3,0)))</f>
        <v/>
      </c>
    </row>
    <row r="746">
      <c r="A746" s="51" t="n">
        <v>0.737</v>
      </c>
      <c r="B746" s="52">
        <f>$B$3*A746^2</f>
        <v/>
      </c>
      <c r="C746" s="52">
        <f>IF($B$4=3,IF(B746&lt;=0.5,1,(1-B746)/B746),IF($B$4=4,IF(B746&lt;=1/3,1,(-B746+SQRT(4*B746-3*B746^2))/(2*B746)),1))</f>
        <v/>
      </c>
      <c r="D746" s="51">
        <f>IF(A746&gt;$B$6+0.0000001,1E+30,$B$5*IF($B$4=3,1.5*(1-C746)^3,IF($B$4=4,2*(1-C746)^4+6*C746*(1-C746)^3,0)))</f>
        <v/>
      </c>
    </row>
    <row r="747">
      <c r="A747" s="51" t="n">
        <v>0.738</v>
      </c>
      <c r="B747" s="52">
        <f>$B$3*A747^2</f>
        <v/>
      </c>
      <c r="C747" s="52">
        <f>IF($B$4=3,IF(B747&lt;=0.5,1,(1-B747)/B747),IF($B$4=4,IF(B747&lt;=1/3,1,(-B747+SQRT(4*B747-3*B747^2))/(2*B747)),1))</f>
        <v/>
      </c>
      <c r="D747" s="51">
        <f>IF(A747&gt;$B$6+0.0000001,1E+30,$B$5*IF($B$4=3,1.5*(1-C747)^3,IF($B$4=4,2*(1-C747)^4+6*C747*(1-C747)^3,0)))</f>
        <v/>
      </c>
    </row>
    <row r="748">
      <c r="A748" s="51" t="n">
        <v>0.739</v>
      </c>
      <c r="B748" s="52">
        <f>$B$3*A748^2</f>
        <v/>
      </c>
      <c r="C748" s="52">
        <f>IF($B$4=3,IF(B748&lt;=0.5,1,(1-B748)/B748),IF($B$4=4,IF(B748&lt;=1/3,1,(-B748+SQRT(4*B748-3*B748^2))/(2*B748)),1))</f>
        <v/>
      </c>
      <c r="D748" s="51">
        <f>IF(A748&gt;$B$6+0.0000001,1E+30,$B$5*IF($B$4=3,1.5*(1-C748)^3,IF($B$4=4,2*(1-C748)^4+6*C748*(1-C748)^3,0)))</f>
        <v/>
      </c>
    </row>
    <row r="749">
      <c r="A749" s="51" t="n">
        <v>0.74</v>
      </c>
      <c r="B749" s="52">
        <f>$B$3*A749^2</f>
        <v/>
      </c>
      <c r="C749" s="52">
        <f>IF($B$4=3,IF(B749&lt;=0.5,1,(1-B749)/B749),IF($B$4=4,IF(B749&lt;=1/3,1,(-B749+SQRT(4*B749-3*B749^2))/(2*B749)),1))</f>
        <v/>
      </c>
      <c r="D749" s="51">
        <f>IF(A749&gt;$B$6+0.0000001,1E+30,$B$5*IF($B$4=3,1.5*(1-C749)^3,IF($B$4=4,2*(1-C749)^4+6*C749*(1-C749)^3,0)))</f>
        <v/>
      </c>
    </row>
    <row r="750">
      <c r="A750" s="51" t="n">
        <v>0.741</v>
      </c>
      <c r="B750" s="52">
        <f>$B$3*A750^2</f>
        <v/>
      </c>
      <c r="C750" s="52">
        <f>IF($B$4=3,IF(B750&lt;=0.5,1,(1-B750)/B750),IF($B$4=4,IF(B750&lt;=1/3,1,(-B750+SQRT(4*B750-3*B750^2))/(2*B750)),1))</f>
        <v/>
      </c>
      <c r="D750" s="51">
        <f>IF(A750&gt;$B$6+0.0000001,1E+30,$B$5*IF($B$4=3,1.5*(1-C750)^3,IF($B$4=4,2*(1-C750)^4+6*C750*(1-C750)^3,0)))</f>
        <v/>
      </c>
    </row>
    <row r="751">
      <c r="A751" s="51" t="n">
        <v>0.742</v>
      </c>
      <c r="B751" s="52">
        <f>$B$3*A751^2</f>
        <v/>
      </c>
      <c r="C751" s="52">
        <f>IF($B$4=3,IF(B751&lt;=0.5,1,(1-B751)/B751),IF($B$4=4,IF(B751&lt;=1/3,1,(-B751+SQRT(4*B751-3*B751^2))/(2*B751)),1))</f>
        <v/>
      </c>
      <c r="D751" s="51">
        <f>IF(A751&gt;$B$6+0.0000001,1E+30,$B$5*IF($B$4=3,1.5*(1-C751)^3,IF($B$4=4,2*(1-C751)^4+6*C751*(1-C751)^3,0)))</f>
        <v/>
      </c>
    </row>
    <row r="752">
      <c r="A752" s="51" t="n">
        <v>0.743</v>
      </c>
      <c r="B752" s="52">
        <f>$B$3*A752^2</f>
        <v/>
      </c>
      <c r="C752" s="52">
        <f>IF($B$4=3,IF(B752&lt;=0.5,1,(1-B752)/B752),IF($B$4=4,IF(B752&lt;=1/3,1,(-B752+SQRT(4*B752-3*B752^2))/(2*B752)),1))</f>
        <v/>
      </c>
      <c r="D752" s="51">
        <f>IF(A752&gt;$B$6+0.0000001,1E+30,$B$5*IF($B$4=3,1.5*(1-C752)^3,IF($B$4=4,2*(1-C752)^4+6*C752*(1-C752)^3,0)))</f>
        <v/>
      </c>
    </row>
    <row r="753">
      <c r="A753" s="51" t="n">
        <v>0.744</v>
      </c>
      <c r="B753" s="52">
        <f>$B$3*A753^2</f>
        <v/>
      </c>
      <c r="C753" s="52">
        <f>IF($B$4=3,IF(B753&lt;=0.5,1,(1-B753)/B753),IF($B$4=4,IF(B753&lt;=1/3,1,(-B753+SQRT(4*B753-3*B753^2))/(2*B753)),1))</f>
        <v/>
      </c>
      <c r="D753" s="51">
        <f>IF(A753&gt;$B$6+0.0000001,1E+30,$B$5*IF($B$4=3,1.5*(1-C753)^3,IF($B$4=4,2*(1-C753)^4+6*C753*(1-C753)^3,0)))</f>
        <v/>
      </c>
    </row>
    <row r="754">
      <c r="A754" s="51" t="n">
        <v>0.745</v>
      </c>
      <c r="B754" s="52">
        <f>$B$3*A754^2</f>
        <v/>
      </c>
      <c r="C754" s="52">
        <f>IF($B$4=3,IF(B754&lt;=0.5,1,(1-B754)/B754),IF($B$4=4,IF(B754&lt;=1/3,1,(-B754+SQRT(4*B754-3*B754^2))/(2*B754)),1))</f>
        <v/>
      </c>
      <c r="D754" s="51">
        <f>IF(A754&gt;$B$6+0.0000001,1E+30,$B$5*IF($B$4=3,1.5*(1-C754)^3,IF($B$4=4,2*(1-C754)^4+6*C754*(1-C754)^3,0)))</f>
        <v/>
      </c>
    </row>
    <row r="755">
      <c r="A755" s="51" t="n">
        <v>0.746</v>
      </c>
      <c r="B755" s="52">
        <f>$B$3*A755^2</f>
        <v/>
      </c>
      <c r="C755" s="52">
        <f>IF($B$4=3,IF(B755&lt;=0.5,1,(1-B755)/B755),IF($B$4=4,IF(B755&lt;=1/3,1,(-B755+SQRT(4*B755-3*B755^2))/(2*B755)),1))</f>
        <v/>
      </c>
      <c r="D755" s="51">
        <f>IF(A755&gt;$B$6+0.0000001,1E+30,$B$5*IF($B$4=3,1.5*(1-C755)^3,IF($B$4=4,2*(1-C755)^4+6*C755*(1-C755)^3,0)))</f>
        <v/>
      </c>
    </row>
    <row r="756">
      <c r="A756" s="51" t="n">
        <v>0.747</v>
      </c>
      <c r="B756" s="52">
        <f>$B$3*A756^2</f>
        <v/>
      </c>
      <c r="C756" s="52">
        <f>IF($B$4=3,IF(B756&lt;=0.5,1,(1-B756)/B756),IF($B$4=4,IF(B756&lt;=1/3,1,(-B756+SQRT(4*B756-3*B756^2))/(2*B756)),1))</f>
        <v/>
      </c>
      <c r="D756" s="51">
        <f>IF(A756&gt;$B$6+0.0000001,1E+30,$B$5*IF($B$4=3,1.5*(1-C756)^3,IF($B$4=4,2*(1-C756)^4+6*C756*(1-C756)^3,0)))</f>
        <v/>
      </c>
    </row>
    <row r="757">
      <c r="A757" s="51" t="n">
        <v>0.748</v>
      </c>
      <c r="B757" s="52">
        <f>$B$3*A757^2</f>
        <v/>
      </c>
      <c r="C757" s="52">
        <f>IF($B$4=3,IF(B757&lt;=0.5,1,(1-B757)/B757),IF($B$4=4,IF(B757&lt;=1/3,1,(-B757+SQRT(4*B757-3*B757^2))/(2*B757)),1))</f>
        <v/>
      </c>
      <c r="D757" s="51">
        <f>IF(A757&gt;$B$6+0.0000001,1E+30,$B$5*IF($B$4=3,1.5*(1-C757)^3,IF($B$4=4,2*(1-C757)^4+6*C757*(1-C757)^3,0)))</f>
        <v/>
      </c>
    </row>
    <row r="758">
      <c r="A758" s="51" t="n">
        <v>0.749</v>
      </c>
      <c r="B758" s="52">
        <f>$B$3*A758^2</f>
        <v/>
      </c>
      <c r="C758" s="52">
        <f>IF($B$4=3,IF(B758&lt;=0.5,1,(1-B758)/B758),IF($B$4=4,IF(B758&lt;=1/3,1,(-B758+SQRT(4*B758-3*B758^2))/(2*B758)),1))</f>
        <v/>
      </c>
      <c r="D758" s="51">
        <f>IF(A758&gt;$B$6+0.0000001,1E+30,$B$5*IF($B$4=3,1.5*(1-C758)^3,IF($B$4=4,2*(1-C758)^4+6*C758*(1-C758)^3,0)))</f>
        <v/>
      </c>
    </row>
    <row r="759">
      <c r="A759" s="51" t="n">
        <v>0.75</v>
      </c>
      <c r="B759" s="52">
        <f>$B$3*A759^2</f>
        <v/>
      </c>
      <c r="C759" s="52">
        <f>IF($B$4=3,IF(B759&lt;=0.5,1,(1-B759)/B759),IF($B$4=4,IF(B759&lt;=1/3,1,(-B759+SQRT(4*B759-3*B759^2))/(2*B759)),1))</f>
        <v/>
      </c>
      <c r="D759" s="51">
        <f>IF(A759&gt;$B$6+0.0000001,1E+30,$B$5*IF($B$4=3,1.5*(1-C759)^3,IF($B$4=4,2*(1-C759)^4+6*C759*(1-C759)^3,0)))</f>
        <v/>
      </c>
    </row>
    <row r="760">
      <c r="A760" s="51" t="n">
        <v>0.751</v>
      </c>
      <c r="B760" s="52">
        <f>$B$3*A760^2</f>
        <v/>
      </c>
      <c r="C760" s="52">
        <f>IF($B$4=3,IF(B760&lt;=0.5,1,(1-B760)/B760),IF($B$4=4,IF(B760&lt;=1/3,1,(-B760+SQRT(4*B760-3*B760^2))/(2*B760)),1))</f>
        <v/>
      </c>
      <c r="D760" s="51">
        <f>IF(A760&gt;$B$6+0.0000001,1E+30,$B$5*IF($B$4=3,1.5*(1-C760)^3,IF($B$4=4,2*(1-C760)^4+6*C760*(1-C760)^3,0)))</f>
        <v/>
      </c>
    </row>
    <row r="761">
      <c r="A761" s="51" t="n">
        <v>0.752</v>
      </c>
      <c r="B761" s="52">
        <f>$B$3*A761^2</f>
        <v/>
      </c>
      <c r="C761" s="52">
        <f>IF($B$4=3,IF(B761&lt;=0.5,1,(1-B761)/B761),IF($B$4=4,IF(B761&lt;=1/3,1,(-B761+SQRT(4*B761-3*B761^2))/(2*B761)),1))</f>
        <v/>
      </c>
      <c r="D761" s="51">
        <f>IF(A761&gt;$B$6+0.0000001,1E+30,$B$5*IF($B$4=3,1.5*(1-C761)^3,IF($B$4=4,2*(1-C761)^4+6*C761*(1-C761)^3,0)))</f>
        <v/>
      </c>
    </row>
    <row r="762">
      <c r="A762" s="51" t="n">
        <v>0.753</v>
      </c>
      <c r="B762" s="52">
        <f>$B$3*A762^2</f>
        <v/>
      </c>
      <c r="C762" s="52">
        <f>IF($B$4=3,IF(B762&lt;=0.5,1,(1-B762)/B762),IF($B$4=4,IF(B762&lt;=1/3,1,(-B762+SQRT(4*B762-3*B762^2))/(2*B762)),1))</f>
        <v/>
      </c>
      <c r="D762" s="51">
        <f>IF(A762&gt;$B$6+0.0000001,1E+30,$B$5*IF($B$4=3,1.5*(1-C762)^3,IF($B$4=4,2*(1-C762)^4+6*C762*(1-C762)^3,0)))</f>
        <v/>
      </c>
    </row>
    <row r="763">
      <c r="A763" s="51" t="n">
        <v>0.754</v>
      </c>
      <c r="B763" s="52">
        <f>$B$3*A763^2</f>
        <v/>
      </c>
      <c r="C763" s="52">
        <f>IF($B$4=3,IF(B763&lt;=0.5,1,(1-B763)/B763),IF($B$4=4,IF(B763&lt;=1/3,1,(-B763+SQRT(4*B763-3*B763^2))/(2*B763)),1))</f>
        <v/>
      </c>
      <c r="D763" s="51">
        <f>IF(A763&gt;$B$6+0.0000001,1E+30,$B$5*IF($B$4=3,1.5*(1-C763)^3,IF($B$4=4,2*(1-C763)^4+6*C763*(1-C763)^3,0)))</f>
        <v/>
      </c>
    </row>
    <row r="764">
      <c r="A764" s="51" t="n">
        <v>0.755</v>
      </c>
      <c r="B764" s="52">
        <f>$B$3*A764^2</f>
        <v/>
      </c>
      <c r="C764" s="52">
        <f>IF($B$4=3,IF(B764&lt;=0.5,1,(1-B764)/B764),IF($B$4=4,IF(B764&lt;=1/3,1,(-B764+SQRT(4*B764-3*B764^2))/(2*B764)),1))</f>
        <v/>
      </c>
      <c r="D764" s="51">
        <f>IF(A764&gt;$B$6+0.0000001,1E+30,$B$5*IF($B$4=3,1.5*(1-C764)^3,IF($B$4=4,2*(1-C764)^4+6*C764*(1-C764)^3,0)))</f>
        <v/>
      </c>
    </row>
    <row r="765">
      <c r="A765" s="51" t="n">
        <v>0.756</v>
      </c>
      <c r="B765" s="52">
        <f>$B$3*A765^2</f>
        <v/>
      </c>
      <c r="C765" s="52">
        <f>IF($B$4=3,IF(B765&lt;=0.5,1,(1-B765)/B765),IF($B$4=4,IF(B765&lt;=1/3,1,(-B765+SQRT(4*B765-3*B765^2))/(2*B765)),1))</f>
        <v/>
      </c>
      <c r="D765" s="51">
        <f>IF(A765&gt;$B$6+0.0000001,1E+30,$B$5*IF($B$4=3,1.5*(1-C765)^3,IF($B$4=4,2*(1-C765)^4+6*C765*(1-C765)^3,0)))</f>
        <v/>
      </c>
    </row>
    <row r="766">
      <c r="A766" s="51" t="n">
        <v>0.757</v>
      </c>
      <c r="B766" s="52">
        <f>$B$3*A766^2</f>
        <v/>
      </c>
      <c r="C766" s="52">
        <f>IF($B$4=3,IF(B766&lt;=0.5,1,(1-B766)/B766),IF($B$4=4,IF(B766&lt;=1/3,1,(-B766+SQRT(4*B766-3*B766^2))/(2*B766)),1))</f>
        <v/>
      </c>
      <c r="D766" s="51">
        <f>IF(A766&gt;$B$6+0.0000001,1E+30,$B$5*IF($B$4=3,1.5*(1-C766)^3,IF($B$4=4,2*(1-C766)^4+6*C766*(1-C766)^3,0)))</f>
        <v/>
      </c>
    </row>
    <row r="767">
      <c r="A767" s="51" t="n">
        <v>0.758</v>
      </c>
      <c r="B767" s="52">
        <f>$B$3*A767^2</f>
        <v/>
      </c>
      <c r="C767" s="52">
        <f>IF($B$4=3,IF(B767&lt;=0.5,1,(1-B767)/B767),IF($B$4=4,IF(B767&lt;=1/3,1,(-B767+SQRT(4*B767-3*B767^2))/(2*B767)),1))</f>
        <v/>
      </c>
      <c r="D767" s="51">
        <f>IF(A767&gt;$B$6+0.0000001,1E+30,$B$5*IF($B$4=3,1.5*(1-C767)^3,IF($B$4=4,2*(1-C767)^4+6*C767*(1-C767)^3,0)))</f>
        <v/>
      </c>
    </row>
    <row r="768">
      <c r="A768" s="51" t="n">
        <v>0.759</v>
      </c>
      <c r="B768" s="52">
        <f>$B$3*A768^2</f>
        <v/>
      </c>
      <c r="C768" s="52">
        <f>IF($B$4=3,IF(B768&lt;=0.5,1,(1-B768)/B768),IF($B$4=4,IF(B768&lt;=1/3,1,(-B768+SQRT(4*B768-3*B768^2))/(2*B768)),1))</f>
        <v/>
      </c>
      <c r="D768" s="51">
        <f>IF(A768&gt;$B$6+0.0000001,1E+30,$B$5*IF($B$4=3,1.5*(1-C768)^3,IF($B$4=4,2*(1-C768)^4+6*C768*(1-C768)^3,0)))</f>
        <v/>
      </c>
    </row>
    <row r="769">
      <c r="A769" s="51" t="n">
        <v>0.76</v>
      </c>
      <c r="B769" s="52">
        <f>$B$3*A769^2</f>
        <v/>
      </c>
      <c r="C769" s="52">
        <f>IF($B$4=3,IF(B769&lt;=0.5,1,(1-B769)/B769),IF($B$4=4,IF(B769&lt;=1/3,1,(-B769+SQRT(4*B769-3*B769^2))/(2*B769)),1))</f>
        <v/>
      </c>
      <c r="D769" s="51">
        <f>IF(A769&gt;$B$6+0.0000001,1E+30,$B$5*IF($B$4=3,1.5*(1-C769)^3,IF($B$4=4,2*(1-C769)^4+6*C769*(1-C769)^3,0)))</f>
        <v/>
      </c>
    </row>
    <row r="770">
      <c r="A770" s="51" t="n">
        <v>0.761</v>
      </c>
      <c r="B770" s="52">
        <f>$B$3*A770^2</f>
        <v/>
      </c>
      <c r="C770" s="52">
        <f>IF($B$4=3,IF(B770&lt;=0.5,1,(1-B770)/B770),IF($B$4=4,IF(B770&lt;=1/3,1,(-B770+SQRT(4*B770-3*B770^2))/(2*B770)),1))</f>
        <v/>
      </c>
      <c r="D770" s="51">
        <f>IF(A770&gt;$B$6+0.0000001,1E+30,$B$5*IF($B$4=3,1.5*(1-C770)^3,IF($B$4=4,2*(1-C770)^4+6*C770*(1-C770)^3,0)))</f>
        <v/>
      </c>
    </row>
    <row r="771">
      <c r="A771" s="51" t="n">
        <v>0.762</v>
      </c>
      <c r="B771" s="52">
        <f>$B$3*A771^2</f>
        <v/>
      </c>
      <c r="C771" s="52">
        <f>IF($B$4=3,IF(B771&lt;=0.5,1,(1-B771)/B771),IF($B$4=4,IF(B771&lt;=1/3,1,(-B771+SQRT(4*B771-3*B771^2))/(2*B771)),1))</f>
        <v/>
      </c>
      <c r="D771" s="51">
        <f>IF(A771&gt;$B$6+0.0000001,1E+30,$B$5*IF($B$4=3,1.5*(1-C771)^3,IF($B$4=4,2*(1-C771)^4+6*C771*(1-C771)^3,0)))</f>
        <v/>
      </c>
    </row>
    <row r="772">
      <c r="A772" s="51" t="n">
        <v>0.763</v>
      </c>
      <c r="B772" s="52">
        <f>$B$3*A772^2</f>
        <v/>
      </c>
      <c r="C772" s="52">
        <f>IF($B$4=3,IF(B772&lt;=0.5,1,(1-B772)/B772),IF($B$4=4,IF(B772&lt;=1/3,1,(-B772+SQRT(4*B772-3*B772^2))/(2*B772)),1))</f>
        <v/>
      </c>
      <c r="D772" s="51">
        <f>IF(A772&gt;$B$6+0.0000001,1E+30,$B$5*IF($B$4=3,1.5*(1-C772)^3,IF($B$4=4,2*(1-C772)^4+6*C772*(1-C772)^3,0)))</f>
        <v/>
      </c>
    </row>
    <row r="773">
      <c r="A773" s="51" t="n">
        <v>0.764</v>
      </c>
      <c r="B773" s="52">
        <f>$B$3*A773^2</f>
        <v/>
      </c>
      <c r="C773" s="52">
        <f>IF($B$4=3,IF(B773&lt;=0.5,1,(1-B773)/B773),IF($B$4=4,IF(B773&lt;=1/3,1,(-B773+SQRT(4*B773-3*B773^2))/(2*B773)),1))</f>
        <v/>
      </c>
      <c r="D773" s="51">
        <f>IF(A773&gt;$B$6+0.0000001,1E+30,$B$5*IF($B$4=3,1.5*(1-C773)^3,IF($B$4=4,2*(1-C773)^4+6*C773*(1-C773)^3,0)))</f>
        <v/>
      </c>
    </row>
    <row r="774">
      <c r="A774" s="51" t="n">
        <v>0.765</v>
      </c>
      <c r="B774" s="52">
        <f>$B$3*A774^2</f>
        <v/>
      </c>
      <c r="C774" s="52">
        <f>IF($B$4=3,IF(B774&lt;=0.5,1,(1-B774)/B774),IF($B$4=4,IF(B774&lt;=1/3,1,(-B774+SQRT(4*B774-3*B774^2))/(2*B774)),1))</f>
        <v/>
      </c>
      <c r="D774" s="51">
        <f>IF(A774&gt;$B$6+0.0000001,1E+30,$B$5*IF($B$4=3,1.5*(1-C774)^3,IF($B$4=4,2*(1-C774)^4+6*C774*(1-C774)^3,0)))</f>
        <v/>
      </c>
    </row>
    <row r="775">
      <c r="A775" s="51" t="n">
        <v>0.766</v>
      </c>
      <c r="B775" s="52">
        <f>$B$3*A775^2</f>
        <v/>
      </c>
      <c r="C775" s="52">
        <f>IF($B$4=3,IF(B775&lt;=0.5,1,(1-B775)/B775),IF($B$4=4,IF(B775&lt;=1/3,1,(-B775+SQRT(4*B775-3*B775^2))/(2*B775)),1))</f>
        <v/>
      </c>
      <c r="D775" s="51">
        <f>IF(A775&gt;$B$6+0.0000001,1E+30,$B$5*IF($B$4=3,1.5*(1-C775)^3,IF($B$4=4,2*(1-C775)^4+6*C775*(1-C775)^3,0)))</f>
        <v/>
      </c>
    </row>
    <row r="776">
      <c r="A776" s="51" t="n">
        <v>0.767</v>
      </c>
      <c r="B776" s="52">
        <f>$B$3*A776^2</f>
        <v/>
      </c>
      <c r="C776" s="52">
        <f>IF($B$4=3,IF(B776&lt;=0.5,1,(1-B776)/B776),IF($B$4=4,IF(B776&lt;=1/3,1,(-B776+SQRT(4*B776-3*B776^2))/(2*B776)),1))</f>
        <v/>
      </c>
      <c r="D776" s="51">
        <f>IF(A776&gt;$B$6+0.0000001,1E+30,$B$5*IF($B$4=3,1.5*(1-C776)^3,IF($B$4=4,2*(1-C776)^4+6*C776*(1-C776)^3,0)))</f>
        <v/>
      </c>
    </row>
    <row r="777">
      <c r="A777" s="51" t="n">
        <v>0.768</v>
      </c>
      <c r="B777" s="52">
        <f>$B$3*A777^2</f>
        <v/>
      </c>
      <c r="C777" s="52">
        <f>IF($B$4=3,IF(B777&lt;=0.5,1,(1-B777)/B777),IF($B$4=4,IF(B777&lt;=1/3,1,(-B777+SQRT(4*B777-3*B777^2))/(2*B777)),1))</f>
        <v/>
      </c>
      <c r="D777" s="51">
        <f>IF(A777&gt;$B$6+0.0000001,1E+30,$B$5*IF($B$4=3,1.5*(1-C777)^3,IF($B$4=4,2*(1-C777)^4+6*C777*(1-C777)^3,0)))</f>
        <v/>
      </c>
    </row>
    <row r="778">
      <c r="A778" s="51" t="n">
        <v>0.769</v>
      </c>
      <c r="B778" s="52">
        <f>$B$3*A778^2</f>
        <v/>
      </c>
      <c r="C778" s="52">
        <f>IF($B$4=3,IF(B778&lt;=0.5,1,(1-B778)/B778),IF($B$4=4,IF(B778&lt;=1/3,1,(-B778+SQRT(4*B778-3*B778^2))/(2*B778)),1))</f>
        <v/>
      </c>
      <c r="D778" s="51">
        <f>IF(A778&gt;$B$6+0.0000001,1E+30,$B$5*IF($B$4=3,1.5*(1-C778)^3,IF($B$4=4,2*(1-C778)^4+6*C778*(1-C778)^3,0)))</f>
        <v/>
      </c>
    </row>
    <row r="779">
      <c r="A779" s="51" t="n">
        <v>0.77</v>
      </c>
      <c r="B779" s="52">
        <f>$B$3*A779^2</f>
        <v/>
      </c>
      <c r="C779" s="52">
        <f>IF($B$4=3,IF(B779&lt;=0.5,1,(1-B779)/B779),IF($B$4=4,IF(B779&lt;=1/3,1,(-B779+SQRT(4*B779-3*B779^2))/(2*B779)),1))</f>
        <v/>
      </c>
      <c r="D779" s="51">
        <f>IF(A779&gt;$B$6+0.0000001,1E+30,$B$5*IF($B$4=3,1.5*(1-C779)^3,IF($B$4=4,2*(1-C779)^4+6*C779*(1-C779)^3,0)))</f>
        <v/>
      </c>
    </row>
    <row r="780">
      <c r="A780" s="51" t="n">
        <v>0.771</v>
      </c>
      <c r="B780" s="52">
        <f>$B$3*A780^2</f>
        <v/>
      </c>
      <c r="C780" s="52">
        <f>IF($B$4=3,IF(B780&lt;=0.5,1,(1-B780)/B780),IF($B$4=4,IF(B780&lt;=1/3,1,(-B780+SQRT(4*B780-3*B780^2))/(2*B780)),1))</f>
        <v/>
      </c>
      <c r="D780" s="51">
        <f>IF(A780&gt;$B$6+0.0000001,1E+30,$B$5*IF($B$4=3,1.5*(1-C780)^3,IF($B$4=4,2*(1-C780)^4+6*C780*(1-C780)^3,0)))</f>
        <v/>
      </c>
    </row>
    <row r="781">
      <c r="A781" s="51" t="n">
        <v>0.772</v>
      </c>
      <c r="B781" s="52">
        <f>$B$3*A781^2</f>
        <v/>
      </c>
      <c r="C781" s="52">
        <f>IF($B$4=3,IF(B781&lt;=0.5,1,(1-B781)/B781),IF($B$4=4,IF(B781&lt;=1/3,1,(-B781+SQRT(4*B781-3*B781^2))/(2*B781)),1))</f>
        <v/>
      </c>
      <c r="D781" s="51">
        <f>IF(A781&gt;$B$6+0.0000001,1E+30,$B$5*IF($B$4=3,1.5*(1-C781)^3,IF($B$4=4,2*(1-C781)^4+6*C781*(1-C781)^3,0)))</f>
        <v/>
      </c>
    </row>
    <row r="782">
      <c r="A782" s="51" t="n">
        <v>0.773</v>
      </c>
      <c r="B782" s="52">
        <f>$B$3*A782^2</f>
        <v/>
      </c>
      <c r="C782" s="52">
        <f>IF($B$4=3,IF(B782&lt;=0.5,1,(1-B782)/B782),IF($B$4=4,IF(B782&lt;=1/3,1,(-B782+SQRT(4*B782-3*B782^2))/(2*B782)),1))</f>
        <v/>
      </c>
      <c r="D782" s="51">
        <f>IF(A782&gt;$B$6+0.0000001,1E+30,$B$5*IF($B$4=3,1.5*(1-C782)^3,IF($B$4=4,2*(1-C782)^4+6*C782*(1-C782)^3,0)))</f>
        <v/>
      </c>
    </row>
    <row r="783">
      <c r="A783" s="51" t="n">
        <v>0.774</v>
      </c>
      <c r="B783" s="52">
        <f>$B$3*A783^2</f>
        <v/>
      </c>
      <c r="C783" s="52">
        <f>IF($B$4=3,IF(B783&lt;=0.5,1,(1-B783)/B783),IF($B$4=4,IF(B783&lt;=1/3,1,(-B783+SQRT(4*B783-3*B783^2))/(2*B783)),1))</f>
        <v/>
      </c>
      <c r="D783" s="51">
        <f>IF(A783&gt;$B$6+0.0000001,1E+30,$B$5*IF($B$4=3,1.5*(1-C783)^3,IF($B$4=4,2*(1-C783)^4+6*C783*(1-C783)^3,0)))</f>
        <v/>
      </c>
    </row>
    <row r="784">
      <c r="A784" s="51" t="n">
        <v>0.775</v>
      </c>
      <c r="B784" s="52">
        <f>$B$3*A784^2</f>
        <v/>
      </c>
      <c r="C784" s="52">
        <f>IF($B$4=3,IF(B784&lt;=0.5,1,(1-B784)/B784),IF($B$4=4,IF(B784&lt;=1/3,1,(-B784+SQRT(4*B784-3*B784^2))/(2*B784)),1))</f>
        <v/>
      </c>
      <c r="D784" s="51">
        <f>IF(A784&gt;$B$6+0.0000001,1E+30,$B$5*IF($B$4=3,1.5*(1-C784)^3,IF($B$4=4,2*(1-C784)^4+6*C784*(1-C784)^3,0)))</f>
        <v/>
      </c>
    </row>
    <row r="785">
      <c r="A785" s="51" t="n">
        <v>0.776</v>
      </c>
      <c r="B785" s="52">
        <f>$B$3*A785^2</f>
        <v/>
      </c>
      <c r="C785" s="52">
        <f>IF($B$4=3,IF(B785&lt;=0.5,1,(1-B785)/B785),IF($B$4=4,IF(B785&lt;=1/3,1,(-B785+SQRT(4*B785-3*B785^2))/(2*B785)),1))</f>
        <v/>
      </c>
      <c r="D785" s="51">
        <f>IF(A785&gt;$B$6+0.0000001,1E+30,$B$5*IF($B$4=3,1.5*(1-C785)^3,IF($B$4=4,2*(1-C785)^4+6*C785*(1-C785)^3,0)))</f>
        <v/>
      </c>
    </row>
    <row r="786">
      <c r="A786" s="51" t="n">
        <v>0.777</v>
      </c>
      <c r="B786" s="52">
        <f>$B$3*A786^2</f>
        <v/>
      </c>
      <c r="C786" s="52">
        <f>IF($B$4=3,IF(B786&lt;=0.5,1,(1-B786)/B786),IF($B$4=4,IF(B786&lt;=1/3,1,(-B786+SQRT(4*B786-3*B786^2))/(2*B786)),1))</f>
        <v/>
      </c>
      <c r="D786" s="51">
        <f>IF(A786&gt;$B$6+0.0000001,1E+30,$B$5*IF($B$4=3,1.5*(1-C786)^3,IF($B$4=4,2*(1-C786)^4+6*C786*(1-C786)^3,0)))</f>
        <v/>
      </c>
    </row>
    <row r="787">
      <c r="A787" s="51" t="n">
        <v>0.778</v>
      </c>
      <c r="B787" s="52">
        <f>$B$3*A787^2</f>
        <v/>
      </c>
      <c r="C787" s="52">
        <f>IF($B$4=3,IF(B787&lt;=0.5,1,(1-B787)/B787),IF($B$4=4,IF(B787&lt;=1/3,1,(-B787+SQRT(4*B787-3*B787^2))/(2*B787)),1))</f>
        <v/>
      </c>
      <c r="D787" s="51">
        <f>IF(A787&gt;$B$6+0.0000001,1E+30,$B$5*IF($B$4=3,1.5*(1-C787)^3,IF($B$4=4,2*(1-C787)^4+6*C787*(1-C787)^3,0)))</f>
        <v/>
      </c>
    </row>
    <row r="788">
      <c r="A788" s="51" t="n">
        <v>0.779</v>
      </c>
      <c r="B788" s="52">
        <f>$B$3*A788^2</f>
        <v/>
      </c>
      <c r="C788" s="52">
        <f>IF($B$4=3,IF(B788&lt;=0.5,1,(1-B788)/B788),IF($B$4=4,IF(B788&lt;=1/3,1,(-B788+SQRT(4*B788-3*B788^2))/(2*B788)),1))</f>
        <v/>
      </c>
      <c r="D788" s="51">
        <f>IF(A788&gt;$B$6+0.0000001,1E+30,$B$5*IF($B$4=3,1.5*(1-C788)^3,IF($B$4=4,2*(1-C788)^4+6*C788*(1-C788)^3,0)))</f>
        <v/>
      </c>
    </row>
    <row r="789">
      <c r="A789" s="51" t="n">
        <v>0.78</v>
      </c>
      <c r="B789" s="52">
        <f>$B$3*A789^2</f>
        <v/>
      </c>
      <c r="C789" s="52">
        <f>IF($B$4=3,IF(B789&lt;=0.5,1,(1-B789)/B789),IF($B$4=4,IF(B789&lt;=1/3,1,(-B789+SQRT(4*B789-3*B789^2))/(2*B789)),1))</f>
        <v/>
      </c>
      <c r="D789" s="51">
        <f>IF(A789&gt;$B$6+0.0000001,1E+30,$B$5*IF($B$4=3,1.5*(1-C789)^3,IF($B$4=4,2*(1-C789)^4+6*C789*(1-C789)^3,0)))</f>
        <v/>
      </c>
    </row>
    <row r="790">
      <c r="A790" s="51" t="n">
        <v>0.781</v>
      </c>
      <c r="B790" s="52">
        <f>$B$3*A790^2</f>
        <v/>
      </c>
      <c r="C790" s="52">
        <f>IF($B$4=3,IF(B790&lt;=0.5,1,(1-B790)/B790),IF($B$4=4,IF(B790&lt;=1/3,1,(-B790+SQRT(4*B790-3*B790^2))/(2*B790)),1))</f>
        <v/>
      </c>
      <c r="D790" s="51">
        <f>IF(A790&gt;$B$6+0.0000001,1E+30,$B$5*IF($B$4=3,1.5*(1-C790)^3,IF($B$4=4,2*(1-C790)^4+6*C790*(1-C790)^3,0)))</f>
        <v/>
      </c>
    </row>
    <row r="791">
      <c r="A791" s="51" t="n">
        <v>0.782</v>
      </c>
      <c r="B791" s="52">
        <f>$B$3*A791^2</f>
        <v/>
      </c>
      <c r="C791" s="52">
        <f>IF($B$4=3,IF(B791&lt;=0.5,1,(1-B791)/B791),IF($B$4=4,IF(B791&lt;=1/3,1,(-B791+SQRT(4*B791-3*B791^2))/(2*B791)),1))</f>
        <v/>
      </c>
      <c r="D791" s="51">
        <f>IF(A791&gt;$B$6+0.0000001,1E+30,$B$5*IF($B$4=3,1.5*(1-C791)^3,IF($B$4=4,2*(1-C791)^4+6*C791*(1-C791)^3,0)))</f>
        <v/>
      </c>
    </row>
    <row r="792">
      <c r="A792" s="51" t="n">
        <v>0.783</v>
      </c>
      <c r="B792" s="52">
        <f>$B$3*A792^2</f>
        <v/>
      </c>
      <c r="C792" s="52">
        <f>IF($B$4=3,IF(B792&lt;=0.5,1,(1-B792)/B792),IF($B$4=4,IF(B792&lt;=1/3,1,(-B792+SQRT(4*B792-3*B792^2))/(2*B792)),1))</f>
        <v/>
      </c>
      <c r="D792" s="51">
        <f>IF(A792&gt;$B$6+0.0000001,1E+30,$B$5*IF($B$4=3,1.5*(1-C792)^3,IF($B$4=4,2*(1-C792)^4+6*C792*(1-C792)^3,0)))</f>
        <v/>
      </c>
    </row>
    <row r="793">
      <c r="A793" s="51" t="n">
        <v>0.784</v>
      </c>
      <c r="B793" s="52">
        <f>$B$3*A793^2</f>
        <v/>
      </c>
      <c r="C793" s="52">
        <f>IF($B$4=3,IF(B793&lt;=0.5,1,(1-B793)/B793),IF($B$4=4,IF(B793&lt;=1/3,1,(-B793+SQRT(4*B793-3*B793^2))/(2*B793)),1))</f>
        <v/>
      </c>
      <c r="D793" s="51">
        <f>IF(A793&gt;$B$6+0.0000001,1E+30,$B$5*IF($B$4=3,1.5*(1-C793)^3,IF($B$4=4,2*(1-C793)^4+6*C793*(1-C793)^3,0)))</f>
        <v/>
      </c>
    </row>
    <row r="794">
      <c r="A794" s="51" t="n">
        <v>0.785</v>
      </c>
      <c r="B794" s="52">
        <f>$B$3*A794^2</f>
        <v/>
      </c>
      <c r="C794" s="52">
        <f>IF($B$4=3,IF(B794&lt;=0.5,1,(1-B794)/B794),IF($B$4=4,IF(B794&lt;=1/3,1,(-B794+SQRT(4*B794-3*B794^2))/(2*B794)),1))</f>
        <v/>
      </c>
      <c r="D794" s="51">
        <f>IF(A794&gt;$B$6+0.0000001,1E+30,$B$5*IF($B$4=3,1.5*(1-C794)^3,IF($B$4=4,2*(1-C794)^4+6*C794*(1-C794)^3,0)))</f>
        <v/>
      </c>
    </row>
    <row r="795">
      <c r="A795" s="51" t="n">
        <v>0.786</v>
      </c>
      <c r="B795" s="52">
        <f>$B$3*A795^2</f>
        <v/>
      </c>
      <c r="C795" s="52">
        <f>IF($B$4=3,IF(B795&lt;=0.5,1,(1-B795)/B795),IF($B$4=4,IF(B795&lt;=1/3,1,(-B795+SQRT(4*B795-3*B795^2))/(2*B795)),1))</f>
        <v/>
      </c>
      <c r="D795" s="51">
        <f>IF(A795&gt;$B$6+0.0000001,1E+30,$B$5*IF($B$4=3,1.5*(1-C795)^3,IF($B$4=4,2*(1-C795)^4+6*C795*(1-C795)^3,0)))</f>
        <v/>
      </c>
    </row>
    <row r="796">
      <c r="A796" s="51" t="n">
        <v>0.787</v>
      </c>
      <c r="B796" s="52">
        <f>$B$3*A796^2</f>
        <v/>
      </c>
      <c r="C796" s="52">
        <f>IF($B$4=3,IF(B796&lt;=0.5,1,(1-B796)/B796),IF($B$4=4,IF(B796&lt;=1/3,1,(-B796+SQRT(4*B796-3*B796^2))/(2*B796)),1))</f>
        <v/>
      </c>
      <c r="D796" s="51">
        <f>IF(A796&gt;$B$6+0.0000001,1E+30,$B$5*IF($B$4=3,1.5*(1-C796)^3,IF($B$4=4,2*(1-C796)^4+6*C796*(1-C796)^3,0)))</f>
        <v/>
      </c>
    </row>
    <row r="797">
      <c r="A797" s="51" t="n">
        <v>0.788</v>
      </c>
      <c r="B797" s="52">
        <f>$B$3*A797^2</f>
        <v/>
      </c>
      <c r="C797" s="52">
        <f>IF($B$4=3,IF(B797&lt;=0.5,1,(1-B797)/B797),IF($B$4=4,IF(B797&lt;=1/3,1,(-B797+SQRT(4*B797-3*B797^2))/(2*B797)),1))</f>
        <v/>
      </c>
      <c r="D797" s="51">
        <f>IF(A797&gt;$B$6+0.0000001,1E+30,$B$5*IF($B$4=3,1.5*(1-C797)^3,IF($B$4=4,2*(1-C797)^4+6*C797*(1-C797)^3,0)))</f>
        <v/>
      </c>
    </row>
    <row r="798">
      <c r="A798" s="51" t="n">
        <v>0.789</v>
      </c>
      <c r="B798" s="52">
        <f>$B$3*A798^2</f>
        <v/>
      </c>
      <c r="C798" s="52">
        <f>IF($B$4=3,IF(B798&lt;=0.5,1,(1-B798)/B798),IF($B$4=4,IF(B798&lt;=1/3,1,(-B798+SQRT(4*B798-3*B798^2))/(2*B798)),1))</f>
        <v/>
      </c>
      <c r="D798" s="51">
        <f>IF(A798&gt;$B$6+0.0000001,1E+30,$B$5*IF($B$4=3,1.5*(1-C798)^3,IF($B$4=4,2*(1-C798)^4+6*C798*(1-C798)^3,0)))</f>
        <v/>
      </c>
    </row>
    <row r="799">
      <c r="A799" s="51" t="n">
        <v>0.79</v>
      </c>
      <c r="B799" s="52">
        <f>$B$3*A799^2</f>
        <v/>
      </c>
      <c r="C799" s="52">
        <f>IF($B$4=3,IF(B799&lt;=0.5,1,(1-B799)/B799),IF($B$4=4,IF(B799&lt;=1/3,1,(-B799+SQRT(4*B799-3*B799^2))/(2*B799)),1))</f>
        <v/>
      </c>
      <c r="D799" s="51">
        <f>IF(A799&gt;$B$6+0.0000001,1E+30,$B$5*IF($B$4=3,1.5*(1-C799)^3,IF($B$4=4,2*(1-C799)^4+6*C799*(1-C799)^3,0)))</f>
        <v/>
      </c>
    </row>
    <row r="800">
      <c r="A800" s="51" t="n">
        <v>0.791</v>
      </c>
      <c r="B800" s="52">
        <f>$B$3*A800^2</f>
        <v/>
      </c>
      <c r="C800" s="52">
        <f>IF($B$4=3,IF(B800&lt;=0.5,1,(1-B800)/B800),IF($B$4=4,IF(B800&lt;=1/3,1,(-B800+SQRT(4*B800-3*B800^2))/(2*B800)),1))</f>
        <v/>
      </c>
      <c r="D800" s="51">
        <f>IF(A800&gt;$B$6+0.0000001,1E+30,$B$5*IF($B$4=3,1.5*(1-C800)^3,IF($B$4=4,2*(1-C800)^4+6*C800*(1-C800)^3,0)))</f>
        <v/>
      </c>
    </row>
    <row r="801">
      <c r="A801" s="51" t="n">
        <v>0.792</v>
      </c>
      <c r="B801" s="52">
        <f>$B$3*A801^2</f>
        <v/>
      </c>
      <c r="C801" s="52">
        <f>IF($B$4=3,IF(B801&lt;=0.5,1,(1-B801)/B801),IF($B$4=4,IF(B801&lt;=1/3,1,(-B801+SQRT(4*B801-3*B801^2))/(2*B801)),1))</f>
        <v/>
      </c>
      <c r="D801" s="51">
        <f>IF(A801&gt;$B$6+0.0000001,1E+30,$B$5*IF($B$4=3,1.5*(1-C801)^3,IF($B$4=4,2*(1-C801)^4+6*C801*(1-C801)^3,0)))</f>
        <v/>
      </c>
    </row>
    <row r="802">
      <c r="A802" s="51" t="n">
        <v>0.793</v>
      </c>
      <c r="B802" s="52">
        <f>$B$3*A802^2</f>
        <v/>
      </c>
      <c r="C802" s="52">
        <f>IF($B$4=3,IF(B802&lt;=0.5,1,(1-B802)/B802),IF($B$4=4,IF(B802&lt;=1/3,1,(-B802+SQRT(4*B802-3*B802^2))/(2*B802)),1))</f>
        <v/>
      </c>
      <c r="D802" s="51">
        <f>IF(A802&gt;$B$6+0.0000001,1E+30,$B$5*IF($B$4=3,1.5*(1-C802)^3,IF($B$4=4,2*(1-C802)^4+6*C802*(1-C802)^3,0)))</f>
        <v/>
      </c>
    </row>
    <row r="803">
      <c r="A803" s="51" t="n">
        <v>0.794</v>
      </c>
      <c r="B803" s="52">
        <f>$B$3*A803^2</f>
        <v/>
      </c>
      <c r="C803" s="52">
        <f>IF($B$4=3,IF(B803&lt;=0.5,1,(1-B803)/B803),IF($B$4=4,IF(B803&lt;=1/3,1,(-B803+SQRT(4*B803-3*B803^2))/(2*B803)),1))</f>
        <v/>
      </c>
      <c r="D803" s="51">
        <f>IF(A803&gt;$B$6+0.0000001,1E+30,$B$5*IF($B$4=3,1.5*(1-C803)^3,IF($B$4=4,2*(1-C803)^4+6*C803*(1-C803)^3,0)))</f>
        <v/>
      </c>
    </row>
    <row r="804">
      <c r="A804" s="51" t="n">
        <v>0.795</v>
      </c>
      <c r="B804" s="52">
        <f>$B$3*A804^2</f>
        <v/>
      </c>
      <c r="C804" s="52">
        <f>IF($B$4=3,IF(B804&lt;=0.5,1,(1-B804)/B804),IF($B$4=4,IF(B804&lt;=1/3,1,(-B804+SQRT(4*B804-3*B804^2))/(2*B804)),1))</f>
        <v/>
      </c>
      <c r="D804" s="51">
        <f>IF(A804&gt;$B$6+0.0000001,1E+30,$B$5*IF($B$4=3,1.5*(1-C804)^3,IF($B$4=4,2*(1-C804)^4+6*C804*(1-C804)^3,0)))</f>
        <v/>
      </c>
    </row>
    <row r="805">
      <c r="A805" s="51" t="n">
        <v>0.796</v>
      </c>
      <c r="B805" s="52">
        <f>$B$3*A805^2</f>
        <v/>
      </c>
      <c r="C805" s="52">
        <f>IF($B$4=3,IF(B805&lt;=0.5,1,(1-B805)/B805),IF($B$4=4,IF(B805&lt;=1/3,1,(-B805+SQRT(4*B805-3*B805^2))/(2*B805)),1))</f>
        <v/>
      </c>
      <c r="D805" s="51">
        <f>IF(A805&gt;$B$6+0.0000001,1E+30,$B$5*IF($B$4=3,1.5*(1-C805)^3,IF($B$4=4,2*(1-C805)^4+6*C805*(1-C805)^3,0)))</f>
        <v/>
      </c>
    </row>
    <row r="806">
      <c r="A806" s="51" t="n">
        <v>0.797</v>
      </c>
      <c r="B806" s="52">
        <f>$B$3*A806^2</f>
        <v/>
      </c>
      <c r="C806" s="52">
        <f>IF($B$4=3,IF(B806&lt;=0.5,1,(1-B806)/B806),IF($B$4=4,IF(B806&lt;=1/3,1,(-B806+SQRT(4*B806-3*B806^2))/(2*B806)),1))</f>
        <v/>
      </c>
      <c r="D806" s="51">
        <f>IF(A806&gt;$B$6+0.0000001,1E+30,$B$5*IF($B$4=3,1.5*(1-C806)^3,IF($B$4=4,2*(1-C806)^4+6*C806*(1-C806)^3,0)))</f>
        <v/>
      </c>
    </row>
    <row r="807">
      <c r="A807" s="51" t="n">
        <v>0.798</v>
      </c>
      <c r="B807" s="52">
        <f>$B$3*A807^2</f>
        <v/>
      </c>
      <c r="C807" s="52">
        <f>IF($B$4=3,IF(B807&lt;=0.5,1,(1-B807)/B807),IF($B$4=4,IF(B807&lt;=1/3,1,(-B807+SQRT(4*B807-3*B807^2))/(2*B807)),1))</f>
        <v/>
      </c>
      <c r="D807" s="51">
        <f>IF(A807&gt;$B$6+0.0000001,1E+30,$B$5*IF($B$4=3,1.5*(1-C807)^3,IF($B$4=4,2*(1-C807)^4+6*C807*(1-C807)^3,0)))</f>
        <v/>
      </c>
    </row>
    <row r="808">
      <c r="A808" s="51" t="n">
        <v>0.799</v>
      </c>
      <c r="B808" s="52">
        <f>$B$3*A808^2</f>
        <v/>
      </c>
      <c r="C808" s="52">
        <f>IF($B$4=3,IF(B808&lt;=0.5,1,(1-B808)/B808),IF($B$4=4,IF(B808&lt;=1/3,1,(-B808+SQRT(4*B808-3*B808^2))/(2*B808)),1))</f>
        <v/>
      </c>
      <c r="D808" s="51">
        <f>IF(A808&gt;$B$6+0.0000001,1E+30,$B$5*IF($B$4=3,1.5*(1-C808)^3,IF($B$4=4,2*(1-C808)^4+6*C808*(1-C808)^3,0)))</f>
        <v/>
      </c>
    </row>
    <row r="809">
      <c r="A809" s="51" t="n">
        <v>0.8</v>
      </c>
      <c r="B809" s="52">
        <f>$B$3*A809^2</f>
        <v/>
      </c>
      <c r="C809" s="52">
        <f>IF($B$4=3,IF(B809&lt;=0.5,1,(1-B809)/B809),IF($B$4=4,IF(B809&lt;=1/3,1,(-B809+SQRT(4*B809-3*B809^2))/(2*B809)),1))</f>
        <v/>
      </c>
      <c r="D809" s="51">
        <f>IF(A809&gt;$B$6+0.0000001,1E+30,$B$5*IF($B$4=3,1.5*(1-C809)^3,IF($B$4=4,2*(1-C809)^4+6*C809*(1-C809)^3,0)))</f>
        <v/>
      </c>
    </row>
    <row r="810">
      <c r="A810" s="51" t="n">
        <v>0.801</v>
      </c>
      <c r="B810" s="52">
        <f>$B$3*A810^2</f>
        <v/>
      </c>
      <c r="C810" s="52">
        <f>IF($B$4=3,IF(B810&lt;=0.5,1,(1-B810)/B810),IF($B$4=4,IF(B810&lt;=1/3,1,(-B810+SQRT(4*B810-3*B810^2))/(2*B810)),1))</f>
        <v/>
      </c>
      <c r="D810" s="51">
        <f>IF(A810&gt;$B$6+0.0000001,1E+30,$B$5*IF($B$4=3,1.5*(1-C810)^3,IF($B$4=4,2*(1-C810)^4+6*C810*(1-C810)^3,0)))</f>
        <v/>
      </c>
    </row>
    <row r="811">
      <c r="A811" s="51" t="n">
        <v>0.802</v>
      </c>
      <c r="B811" s="52">
        <f>$B$3*A811^2</f>
        <v/>
      </c>
      <c r="C811" s="52">
        <f>IF($B$4=3,IF(B811&lt;=0.5,1,(1-B811)/B811),IF($B$4=4,IF(B811&lt;=1/3,1,(-B811+SQRT(4*B811-3*B811^2))/(2*B811)),1))</f>
        <v/>
      </c>
      <c r="D811" s="51">
        <f>IF(A811&gt;$B$6+0.0000001,1E+30,$B$5*IF($B$4=3,1.5*(1-C811)^3,IF($B$4=4,2*(1-C811)^4+6*C811*(1-C811)^3,0)))</f>
        <v/>
      </c>
    </row>
    <row r="812">
      <c r="A812" s="51" t="n">
        <v>0.803</v>
      </c>
      <c r="B812" s="52">
        <f>$B$3*A812^2</f>
        <v/>
      </c>
      <c r="C812" s="52">
        <f>IF($B$4=3,IF(B812&lt;=0.5,1,(1-B812)/B812),IF($B$4=4,IF(B812&lt;=1/3,1,(-B812+SQRT(4*B812-3*B812^2))/(2*B812)),1))</f>
        <v/>
      </c>
      <c r="D812" s="51">
        <f>IF(A812&gt;$B$6+0.0000001,1E+30,$B$5*IF($B$4=3,1.5*(1-C812)^3,IF($B$4=4,2*(1-C812)^4+6*C812*(1-C812)^3,0)))</f>
        <v/>
      </c>
    </row>
    <row r="813">
      <c r="A813" s="51" t="n">
        <v>0.804</v>
      </c>
      <c r="B813" s="52">
        <f>$B$3*A813^2</f>
        <v/>
      </c>
      <c r="C813" s="52">
        <f>IF($B$4=3,IF(B813&lt;=0.5,1,(1-B813)/B813),IF($B$4=4,IF(B813&lt;=1/3,1,(-B813+SQRT(4*B813-3*B813^2))/(2*B813)),1))</f>
        <v/>
      </c>
      <c r="D813" s="51">
        <f>IF(A813&gt;$B$6+0.0000001,1E+30,$B$5*IF($B$4=3,1.5*(1-C813)^3,IF($B$4=4,2*(1-C813)^4+6*C813*(1-C813)^3,0)))</f>
        <v/>
      </c>
    </row>
    <row r="814">
      <c r="A814" s="51" t="n">
        <v>0.805</v>
      </c>
      <c r="B814" s="52">
        <f>$B$3*A814^2</f>
        <v/>
      </c>
      <c r="C814" s="52">
        <f>IF($B$4=3,IF(B814&lt;=0.5,1,(1-B814)/B814),IF($B$4=4,IF(B814&lt;=1/3,1,(-B814+SQRT(4*B814-3*B814^2))/(2*B814)),1))</f>
        <v/>
      </c>
      <c r="D814" s="51">
        <f>IF(A814&gt;$B$6+0.0000001,1E+30,$B$5*IF($B$4=3,1.5*(1-C814)^3,IF($B$4=4,2*(1-C814)^4+6*C814*(1-C814)^3,0)))</f>
        <v/>
      </c>
    </row>
    <row r="815">
      <c r="A815" s="51" t="n">
        <v>0.806</v>
      </c>
      <c r="B815" s="52">
        <f>$B$3*A815^2</f>
        <v/>
      </c>
      <c r="C815" s="52">
        <f>IF($B$4=3,IF(B815&lt;=0.5,1,(1-B815)/B815),IF($B$4=4,IF(B815&lt;=1/3,1,(-B815+SQRT(4*B815-3*B815^2))/(2*B815)),1))</f>
        <v/>
      </c>
      <c r="D815" s="51">
        <f>IF(A815&gt;$B$6+0.0000001,1E+30,$B$5*IF($B$4=3,1.5*(1-C815)^3,IF($B$4=4,2*(1-C815)^4+6*C815*(1-C815)^3,0)))</f>
        <v/>
      </c>
    </row>
    <row r="816">
      <c r="A816" s="51" t="n">
        <v>0.8070000000000001</v>
      </c>
      <c r="B816" s="52">
        <f>$B$3*A816^2</f>
        <v/>
      </c>
      <c r="C816" s="52">
        <f>IF($B$4=3,IF(B816&lt;=0.5,1,(1-B816)/B816),IF($B$4=4,IF(B816&lt;=1/3,1,(-B816+SQRT(4*B816-3*B816^2))/(2*B816)),1))</f>
        <v/>
      </c>
      <c r="D816" s="51">
        <f>IF(A816&gt;$B$6+0.0000001,1E+30,$B$5*IF($B$4=3,1.5*(1-C816)^3,IF($B$4=4,2*(1-C816)^4+6*C816*(1-C816)^3,0)))</f>
        <v/>
      </c>
    </row>
    <row r="817">
      <c r="A817" s="51" t="n">
        <v>0.8080000000000001</v>
      </c>
      <c r="B817" s="52">
        <f>$B$3*A817^2</f>
        <v/>
      </c>
      <c r="C817" s="52">
        <f>IF($B$4=3,IF(B817&lt;=0.5,1,(1-B817)/B817),IF($B$4=4,IF(B817&lt;=1/3,1,(-B817+SQRT(4*B817-3*B817^2))/(2*B817)),1))</f>
        <v/>
      </c>
      <c r="D817" s="51">
        <f>IF(A817&gt;$B$6+0.0000001,1E+30,$B$5*IF($B$4=3,1.5*(1-C817)^3,IF($B$4=4,2*(1-C817)^4+6*C817*(1-C817)^3,0)))</f>
        <v/>
      </c>
    </row>
    <row r="818">
      <c r="A818" s="51" t="n">
        <v>0.8090000000000001</v>
      </c>
      <c r="B818" s="52">
        <f>$B$3*A818^2</f>
        <v/>
      </c>
      <c r="C818" s="52">
        <f>IF($B$4=3,IF(B818&lt;=0.5,1,(1-B818)/B818),IF($B$4=4,IF(B818&lt;=1/3,1,(-B818+SQRT(4*B818-3*B818^2))/(2*B818)),1))</f>
        <v/>
      </c>
      <c r="D818" s="51">
        <f>IF(A818&gt;$B$6+0.0000001,1E+30,$B$5*IF($B$4=3,1.5*(1-C818)^3,IF($B$4=4,2*(1-C818)^4+6*C818*(1-C818)^3,0)))</f>
        <v/>
      </c>
    </row>
    <row r="819">
      <c r="A819" s="51" t="n">
        <v>0.8100000000000001</v>
      </c>
      <c r="B819" s="52">
        <f>$B$3*A819^2</f>
        <v/>
      </c>
      <c r="C819" s="52">
        <f>IF($B$4=3,IF(B819&lt;=0.5,1,(1-B819)/B819),IF($B$4=4,IF(B819&lt;=1/3,1,(-B819+SQRT(4*B819-3*B819^2))/(2*B819)),1))</f>
        <v/>
      </c>
      <c r="D819" s="51">
        <f>IF(A819&gt;$B$6+0.0000001,1E+30,$B$5*IF($B$4=3,1.5*(1-C819)^3,IF($B$4=4,2*(1-C819)^4+6*C819*(1-C819)^3,0)))</f>
        <v/>
      </c>
    </row>
    <row r="820">
      <c r="A820" s="51" t="n">
        <v>0.8110000000000001</v>
      </c>
      <c r="B820" s="52">
        <f>$B$3*A820^2</f>
        <v/>
      </c>
      <c r="C820" s="52">
        <f>IF($B$4=3,IF(B820&lt;=0.5,1,(1-B820)/B820),IF($B$4=4,IF(B820&lt;=1/3,1,(-B820+SQRT(4*B820-3*B820^2))/(2*B820)),1))</f>
        <v/>
      </c>
      <c r="D820" s="51">
        <f>IF(A820&gt;$B$6+0.0000001,1E+30,$B$5*IF($B$4=3,1.5*(1-C820)^3,IF($B$4=4,2*(1-C820)^4+6*C820*(1-C820)^3,0)))</f>
        <v/>
      </c>
    </row>
    <row r="821">
      <c r="A821" s="51" t="n">
        <v>0.8120000000000001</v>
      </c>
      <c r="B821" s="52">
        <f>$B$3*A821^2</f>
        <v/>
      </c>
      <c r="C821" s="52">
        <f>IF($B$4=3,IF(B821&lt;=0.5,1,(1-B821)/B821),IF($B$4=4,IF(B821&lt;=1/3,1,(-B821+SQRT(4*B821-3*B821^2))/(2*B821)),1))</f>
        <v/>
      </c>
      <c r="D821" s="51">
        <f>IF(A821&gt;$B$6+0.0000001,1E+30,$B$5*IF($B$4=3,1.5*(1-C821)^3,IF($B$4=4,2*(1-C821)^4+6*C821*(1-C821)^3,0)))</f>
        <v/>
      </c>
    </row>
    <row r="822">
      <c r="A822" s="51" t="n">
        <v>0.8129999999999999</v>
      </c>
      <c r="B822" s="52">
        <f>$B$3*A822^2</f>
        <v/>
      </c>
      <c r="C822" s="52">
        <f>IF($B$4=3,IF(B822&lt;=0.5,1,(1-B822)/B822),IF($B$4=4,IF(B822&lt;=1/3,1,(-B822+SQRT(4*B822-3*B822^2))/(2*B822)),1))</f>
        <v/>
      </c>
      <c r="D822" s="51">
        <f>IF(A822&gt;$B$6+0.0000001,1E+30,$B$5*IF($B$4=3,1.5*(1-C822)^3,IF($B$4=4,2*(1-C822)^4+6*C822*(1-C822)^3,0)))</f>
        <v/>
      </c>
    </row>
    <row r="823">
      <c r="A823" s="51" t="n">
        <v>0.8139999999999999</v>
      </c>
      <c r="B823" s="52">
        <f>$B$3*A823^2</f>
        <v/>
      </c>
      <c r="C823" s="52">
        <f>IF($B$4=3,IF(B823&lt;=0.5,1,(1-B823)/B823),IF($B$4=4,IF(B823&lt;=1/3,1,(-B823+SQRT(4*B823-3*B823^2))/(2*B823)),1))</f>
        <v/>
      </c>
      <c r="D823" s="51">
        <f>IF(A823&gt;$B$6+0.0000001,1E+30,$B$5*IF($B$4=3,1.5*(1-C823)^3,IF($B$4=4,2*(1-C823)^4+6*C823*(1-C823)^3,0)))</f>
        <v/>
      </c>
    </row>
    <row r="824">
      <c r="A824" s="51" t="n">
        <v>0.8149999999999999</v>
      </c>
      <c r="B824" s="52">
        <f>$B$3*A824^2</f>
        <v/>
      </c>
      <c r="C824" s="52">
        <f>IF($B$4=3,IF(B824&lt;=0.5,1,(1-B824)/B824),IF($B$4=4,IF(B824&lt;=1/3,1,(-B824+SQRT(4*B824-3*B824^2))/(2*B824)),1))</f>
        <v/>
      </c>
      <c r="D824" s="51">
        <f>IF(A824&gt;$B$6+0.0000001,1E+30,$B$5*IF($B$4=3,1.5*(1-C824)^3,IF($B$4=4,2*(1-C824)^4+6*C824*(1-C824)^3,0)))</f>
        <v/>
      </c>
    </row>
    <row r="825">
      <c r="A825" s="51" t="n">
        <v>0.8159999999999999</v>
      </c>
      <c r="B825" s="52">
        <f>$B$3*A825^2</f>
        <v/>
      </c>
      <c r="C825" s="52">
        <f>IF($B$4=3,IF(B825&lt;=0.5,1,(1-B825)/B825),IF($B$4=4,IF(B825&lt;=1/3,1,(-B825+SQRT(4*B825-3*B825^2))/(2*B825)),1))</f>
        <v/>
      </c>
      <c r="D825" s="51">
        <f>IF(A825&gt;$B$6+0.0000001,1E+30,$B$5*IF($B$4=3,1.5*(1-C825)^3,IF($B$4=4,2*(1-C825)^4+6*C825*(1-C825)^3,0)))</f>
        <v/>
      </c>
    </row>
    <row r="826">
      <c r="A826" s="51" t="n">
        <v>0.8169999999999999</v>
      </c>
      <c r="B826" s="52">
        <f>$B$3*A826^2</f>
        <v/>
      </c>
      <c r="C826" s="52">
        <f>IF($B$4=3,IF(B826&lt;=0.5,1,(1-B826)/B826),IF($B$4=4,IF(B826&lt;=1/3,1,(-B826+SQRT(4*B826-3*B826^2))/(2*B826)),1))</f>
        <v/>
      </c>
      <c r="D826" s="51">
        <f>IF(A826&gt;$B$6+0.0000001,1E+30,$B$5*IF($B$4=3,1.5*(1-C826)^3,IF($B$4=4,2*(1-C826)^4+6*C826*(1-C826)^3,0)))</f>
        <v/>
      </c>
    </row>
    <row r="827">
      <c r="A827" s="51" t="n">
        <v>0.8179999999999999</v>
      </c>
      <c r="B827" s="52">
        <f>$B$3*A827^2</f>
        <v/>
      </c>
      <c r="C827" s="52">
        <f>IF($B$4=3,IF(B827&lt;=0.5,1,(1-B827)/B827),IF($B$4=4,IF(B827&lt;=1/3,1,(-B827+SQRT(4*B827-3*B827^2))/(2*B827)),1))</f>
        <v/>
      </c>
      <c r="D827" s="51">
        <f>IF(A827&gt;$B$6+0.0000001,1E+30,$B$5*IF($B$4=3,1.5*(1-C827)^3,IF($B$4=4,2*(1-C827)^4+6*C827*(1-C827)^3,0)))</f>
        <v/>
      </c>
    </row>
    <row r="828">
      <c r="A828" s="51" t="n">
        <v>0.819</v>
      </c>
      <c r="B828" s="52">
        <f>$B$3*A828^2</f>
        <v/>
      </c>
      <c r="C828" s="52">
        <f>IF($B$4=3,IF(B828&lt;=0.5,1,(1-B828)/B828),IF($B$4=4,IF(B828&lt;=1/3,1,(-B828+SQRT(4*B828-3*B828^2))/(2*B828)),1))</f>
        <v/>
      </c>
      <c r="D828" s="51">
        <f>IF(A828&gt;$B$6+0.0000001,1E+30,$B$5*IF($B$4=3,1.5*(1-C828)^3,IF($B$4=4,2*(1-C828)^4+6*C828*(1-C828)^3,0)))</f>
        <v/>
      </c>
    </row>
    <row r="829">
      <c r="A829" s="51" t="n">
        <v>0.82</v>
      </c>
      <c r="B829" s="52">
        <f>$B$3*A829^2</f>
        <v/>
      </c>
      <c r="C829" s="52">
        <f>IF($B$4=3,IF(B829&lt;=0.5,1,(1-B829)/B829),IF($B$4=4,IF(B829&lt;=1/3,1,(-B829+SQRT(4*B829-3*B829^2))/(2*B829)),1))</f>
        <v/>
      </c>
      <c r="D829" s="51">
        <f>IF(A829&gt;$B$6+0.0000001,1E+30,$B$5*IF($B$4=3,1.5*(1-C829)^3,IF($B$4=4,2*(1-C829)^4+6*C829*(1-C829)^3,0)))</f>
        <v/>
      </c>
    </row>
    <row r="830">
      <c r="A830" s="51" t="n">
        <v>0.821</v>
      </c>
      <c r="B830" s="52">
        <f>$B$3*A830^2</f>
        <v/>
      </c>
      <c r="C830" s="52">
        <f>IF($B$4=3,IF(B830&lt;=0.5,1,(1-B830)/B830),IF($B$4=4,IF(B830&lt;=1/3,1,(-B830+SQRT(4*B830-3*B830^2))/(2*B830)),1))</f>
        <v/>
      </c>
      <c r="D830" s="51">
        <f>IF(A830&gt;$B$6+0.0000001,1E+30,$B$5*IF($B$4=3,1.5*(1-C830)^3,IF($B$4=4,2*(1-C830)^4+6*C830*(1-C830)^3,0)))</f>
        <v/>
      </c>
    </row>
    <row r="831">
      <c r="A831" s="51" t="n">
        <v>0.822</v>
      </c>
      <c r="B831" s="52">
        <f>$B$3*A831^2</f>
        <v/>
      </c>
      <c r="C831" s="52">
        <f>IF($B$4=3,IF(B831&lt;=0.5,1,(1-B831)/B831),IF($B$4=4,IF(B831&lt;=1/3,1,(-B831+SQRT(4*B831-3*B831^2))/(2*B831)),1))</f>
        <v/>
      </c>
      <c r="D831" s="51">
        <f>IF(A831&gt;$B$6+0.0000001,1E+30,$B$5*IF($B$4=3,1.5*(1-C831)^3,IF($B$4=4,2*(1-C831)^4+6*C831*(1-C831)^3,0)))</f>
        <v/>
      </c>
    </row>
    <row r="832">
      <c r="A832" s="51" t="n">
        <v>0.823</v>
      </c>
      <c r="B832" s="52">
        <f>$B$3*A832^2</f>
        <v/>
      </c>
      <c r="C832" s="52">
        <f>IF($B$4=3,IF(B832&lt;=0.5,1,(1-B832)/B832),IF($B$4=4,IF(B832&lt;=1/3,1,(-B832+SQRT(4*B832-3*B832^2))/(2*B832)),1))</f>
        <v/>
      </c>
      <c r="D832" s="51">
        <f>IF(A832&gt;$B$6+0.0000001,1E+30,$B$5*IF($B$4=3,1.5*(1-C832)^3,IF($B$4=4,2*(1-C832)^4+6*C832*(1-C832)^3,0)))</f>
        <v/>
      </c>
    </row>
    <row r="833">
      <c r="A833" s="51" t="n">
        <v>0.824</v>
      </c>
      <c r="B833" s="52">
        <f>$B$3*A833^2</f>
        <v/>
      </c>
      <c r="C833" s="52">
        <f>IF($B$4=3,IF(B833&lt;=0.5,1,(1-B833)/B833),IF($B$4=4,IF(B833&lt;=1/3,1,(-B833+SQRT(4*B833-3*B833^2))/(2*B833)),1))</f>
        <v/>
      </c>
      <c r="D833" s="51">
        <f>IF(A833&gt;$B$6+0.0000001,1E+30,$B$5*IF($B$4=3,1.5*(1-C833)^3,IF($B$4=4,2*(1-C833)^4+6*C833*(1-C833)^3,0)))</f>
        <v/>
      </c>
    </row>
    <row r="834">
      <c r="A834" s="51" t="n">
        <v>0.825</v>
      </c>
      <c r="B834" s="52">
        <f>$B$3*A834^2</f>
        <v/>
      </c>
      <c r="C834" s="52">
        <f>IF($B$4=3,IF(B834&lt;=0.5,1,(1-B834)/B834),IF($B$4=4,IF(B834&lt;=1/3,1,(-B834+SQRT(4*B834-3*B834^2))/(2*B834)),1))</f>
        <v/>
      </c>
      <c r="D834" s="51">
        <f>IF(A834&gt;$B$6+0.0000001,1E+30,$B$5*IF($B$4=3,1.5*(1-C834)^3,IF($B$4=4,2*(1-C834)^4+6*C834*(1-C834)^3,0)))</f>
        <v/>
      </c>
    </row>
    <row r="835">
      <c r="A835" s="51" t="n">
        <v>0.826</v>
      </c>
      <c r="B835" s="52">
        <f>$B$3*A835^2</f>
        <v/>
      </c>
      <c r="C835" s="52">
        <f>IF($B$4=3,IF(B835&lt;=0.5,1,(1-B835)/B835),IF($B$4=4,IF(B835&lt;=1/3,1,(-B835+SQRT(4*B835-3*B835^2))/(2*B835)),1))</f>
        <v/>
      </c>
      <c r="D835" s="51">
        <f>IF(A835&gt;$B$6+0.0000001,1E+30,$B$5*IF($B$4=3,1.5*(1-C835)^3,IF($B$4=4,2*(1-C835)^4+6*C835*(1-C835)^3,0)))</f>
        <v/>
      </c>
    </row>
    <row r="836">
      <c r="A836" s="51" t="n">
        <v>0.827</v>
      </c>
      <c r="B836" s="52">
        <f>$B$3*A836^2</f>
        <v/>
      </c>
      <c r="C836" s="52">
        <f>IF($B$4=3,IF(B836&lt;=0.5,1,(1-B836)/B836),IF($B$4=4,IF(B836&lt;=1/3,1,(-B836+SQRT(4*B836-3*B836^2))/(2*B836)),1))</f>
        <v/>
      </c>
      <c r="D836" s="51">
        <f>IF(A836&gt;$B$6+0.0000001,1E+30,$B$5*IF($B$4=3,1.5*(1-C836)^3,IF($B$4=4,2*(1-C836)^4+6*C836*(1-C836)^3,0)))</f>
        <v/>
      </c>
    </row>
    <row r="837">
      <c r="A837" s="51" t="n">
        <v>0.828</v>
      </c>
      <c r="B837" s="52">
        <f>$B$3*A837^2</f>
        <v/>
      </c>
      <c r="C837" s="52">
        <f>IF($B$4=3,IF(B837&lt;=0.5,1,(1-B837)/B837),IF($B$4=4,IF(B837&lt;=1/3,1,(-B837+SQRT(4*B837-3*B837^2))/(2*B837)),1))</f>
        <v/>
      </c>
      <c r="D837" s="51">
        <f>IF(A837&gt;$B$6+0.0000001,1E+30,$B$5*IF($B$4=3,1.5*(1-C837)^3,IF($B$4=4,2*(1-C837)^4+6*C837*(1-C837)^3,0)))</f>
        <v/>
      </c>
    </row>
    <row r="838">
      <c r="A838" s="51" t="n">
        <v>0.829</v>
      </c>
      <c r="B838" s="52">
        <f>$B$3*A838^2</f>
        <v/>
      </c>
      <c r="C838" s="52">
        <f>IF($B$4=3,IF(B838&lt;=0.5,1,(1-B838)/B838),IF($B$4=4,IF(B838&lt;=1/3,1,(-B838+SQRT(4*B838-3*B838^2))/(2*B838)),1))</f>
        <v/>
      </c>
      <c r="D838" s="51">
        <f>IF(A838&gt;$B$6+0.0000001,1E+30,$B$5*IF($B$4=3,1.5*(1-C838)^3,IF($B$4=4,2*(1-C838)^4+6*C838*(1-C838)^3,0)))</f>
        <v/>
      </c>
    </row>
    <row r="839">
      <c r="A839" s="51" t="n">
        <v>0.83</v>
      </c>
      <c r="B839" s="52">
        <f>$B$3*A839^2</f>
        <v/>
      </c>
      <c r="C839" s="52">
        <f>IF($B$4=3,IF(B839&lt;=0.5,1,(1-B839)/B839),IF($B$4=4,IF(B839&lt;=1/3,1,(-B839+SQRT(4*B839-3*B839^2))/(2*B839)),1))</f>
        <v/>
      </c>
      <c r="D839" s="51">
        <f>IF(A839&gt;$B$6+0.0000001,1E+30,$B$5*IF($B$4=3,1.5*(1-C839)^3,IF($B$4=4,2*(1-C839)^4+6*C839*(1-C839)^3,0)))</f>
        <v/>
      </c>
    </row>
    <row r="840">
      <c r="A840" s="51" t="n">
        <v>0.831</v>
      </c>
      <c r="B840" s="52">
        <f>$B$3*A840^2</f>
        <v/>
      </c>
      <c r="C840" s="52">
        <f>IF($B$4=3,IF(B840&lt;=0.5,1,(1-B840)/B840),IF($B$4=4,IF(B840&lt;=1/3,1,(-B840+SQRT(4*B840-3*B840^2))/(2*B840)),1))</f>
        <v/>
      </c>
      <c r="D840" s="51">
        <f>IF(A840&gt;$B$6+0.0000001,1E+30,$B$5*IF($B$4=3,1.5*(1-C840)^3,IF($B$4=4,2*(1-C840)^4+6*C840*(1-C840)^3,0)))</f>
        <v/>
      </c>
    </row>
    <row r="841">
      <c r="A841" s="51" t="n">
        <v>0.832</v>
      </c>
      <c r="B841" s="52">
        <f>$B$3*A841^2</f>
        <v/>
      </c>
      <c r="C841" s="52">
        <f>IF($B$4=3,IF(B841&lt;=0.5,1,(1-B841)/B841),IF($B$4=4,IF(B841&lt;=1/3,1,(-B841+SQRT(4*B841-3*B841^2))/(2*B841)),1))</f>
        <v/>
      </c>
      <c r="D841" s="51">
        <f>IF(A841&gt;$B$6+0.0000001,1E+30,$B$5*IF($B$4=3,1.5*(1-C841)^3,IF($B$4=4,2*(1-C841)^4+6*C841*(1-C841)^3,0)))</f>
        <v/>
      </c>
    </row>
    <row r="842">
      <c r="A842" s="51" t="n">
        <v>0.833</v>
      </c>
      <c r="B842" s="52">
        <f>$B$3*A842^2</f>
        <v/>
      </c>
      <c r="C842" s="52">
        <f>IF($B$4=3,IF(B842&lt;=0.5,1,(1-B842)/B842),IF($B$4=4,IF(B842&lt;=1/3,1,(-B842+SQRT(4*B842-3*B842^2))/(2*B842)),1))</f>
        <v/>
      </c>
      <c r="D842" s="51">
        <f>IF(A842&gt;$B$6+0.0000001,1E+30,$B$5*IF($B$4=3,1.5*(1-C842)^3,IF($B$4=4,2*(1-C842)^4+6*C842*(1-C842)^3,0)))</f>
        <v/>
      </c>
    </row>
    <row r="843">
      <c r="A843" s="51" t="n">
        <v>0.834</v>
      </c>
      <c r="B843" s="52">
        <f>$B$3*A843^2</f>
        <v/>
      </c>
      <c r="C843" s="52">
        <f>IF($B$4=3,IF(B843&lt;=0.5,1,(1-B843)/B843),IF($B$4=4,IF(B843&lt;=1/3,1,(-B843+SQRT(4*B843-3*B843^2))/(2*B843)),1))</f>
        <v/>
      </c>
      <c r="D843" s="51">
        <f>IF(A843&gt;$B$6+0.0000001,1E+30,$B$5*IF($B$4=3,1.5*(1-C843)^3,IF($B$4=4,2*(1-C843)^4+6*C843*(1-C843)^3,0)))</f>
        <v/>
      </c>
    </row>
    <row r="844">
      <c r="A844" s="51" t="n">
        <v>0.835</v>
      </c>
      <c r="B844" s="52">
        <f>$B$3*A844^2</f>
        <v/>
      </c>
      <c r="C844" s="52">
        <f>IF($B$4=3,IF(B844&lt;=0.5,1,(1-B844)/B844),IF($B$4=4,IF(B844&lt;=1/3,1,(-B844+SQRT(4*B844-3*B844^2))/(2*B844)),1))</f>
        <v/>
      </c>
      <c r="D844" s="51">
        <f>IF(A844&gt;$B$6+0.0000001,1E+30,$B$5*IF($B$4=3,1.5*(1-C844)^3,IF($B$4=4,2*(1-C844)^4+6*C844*(1-C844)^3,0)))</f>
        <v/>
      </c>
    </row>
    <row r="845">
      <c r="A845" s="51" t="n">
        <v>0.836</v>
      </c>
      <c r="B845" s="52">
        <f>$B$3*A845^2</f>
        <v/>
      </c>
      <c r="C845" s="52">
        <f>IF($B$4=3,IF(B845&lt;=0.5,1,(1-B845)/B845),IF($B$4=4,IF(B845&lt;=1/3,1,(-B845+SQRT(4*B845-3*B845^2))/(2*B845)),1))</f>
        <v/>
      </c>
      <c r="D845" s="51">
        <f>IF(A845&gt;$B$6+0.0000001,1E+30,$B$5*IF($B$4=3,1.5*(1-C845)^3,IF($B$4=4,2*(1-C845)^4+6*C845*(1-C845)^3,0)))</f>
        <v/>
      </c>
    </row>
    <row r="846">
      <c r="A846" s="51" t="n">
        <v>0.837</v>
      </c>
      <c r="B846" s="52">
        <f>$B$3*A846^2</f>
        <v/>
      </c>
      <c r="C846" s="52">
        <f>IF($B$4=3,IF(B846&lt;=0.5,1,(1-B846)/B846),IF($B$4=4,IF(B846&lt;=1/3,1,(-B846+SQRT(4*B846-3*B846^2))/(2*B846)),1))</f>
        <v/>
      </c>
      <c r="D846" s="51">
        <f>IF(A846&gt;$B$6+0.0000001,1E+30,$B$5*IF($B$4=3,1.5*(1-C846)^3,IF($B$4=4,2*(1-C846)^4+6*C846*(1-C846)^3,0)))</f>
        <v/>
      </c>
    </row>
    <row r="847">
      <c r="A847" s="51" t="n">
        <v>0.838</v>
      </c>
      <c r="B847" s="52">
        <f>$B$3*A847^2</f>
        <v/>
      </c>
      <c r="C847" s="52">
        <f>IF($B$4=3,IF(B847&lt;=0.5,1,(1-B847)/B847),IF($B$4=4,IF(B847&lt;=1/3,1,(-B847+SQRT(4*B847-3*B847^2))/(2*B847)),1))</f>
        <v/>
      </c>
      <c r="D847" s="51">
        <f>IF(A847&gt;$B$6+0.0000001,1E+30,$B$5*IF($B$4=3,1.5*(1-C847)^3,IF($B$4=4,2*(1-C847)^4+6*C847*(1-C847)^3,0)))</f>
        <v/>
      </c>
    </row>
    <row r="848">
      <c r="A848" s="51" t="n">
        <v>0.839</v>
      </c>
      <c r="B848" s="52">
        <f>$B$3*A848^2</f>
        <v/>
      </c>
      <c r="C848" s="52">
        <f>IF($B$4=3,IF(B848&lt;=0.5,1,(1-B848)/B848),IF($B$4=4,IF(B848&lt;=1/3,1,(-B848+SQRT(4*B848-3*B848^2))/(2*B848)),1))</f>
        <v/>
      </c>
      <c r="D848" s="51">
        <f>IF(A848&gt;$B$6+0.0000001,1E+30,$B$5*IF($B$4=3,1.5*(1-C848)^3,IF($B$4=4,2*(1-C848)^4+6*C848*(1-C848)^3,0)))</f>
        <v/>
      </c>
    </row>
    <row r="849">
      <c r="A849" s="51" t="n">
        <v>0.84</v>
      </c>
      <c r="B849" s="52">
        <f>$B$3*A849^2</f>
        <v/>
      </c>
      <c r="C849" s="52">
        <f>IF($B$4=3,IF(B849&lt;=0.5,1,(1-B849)/B849),IF($B$4=4,IF(B849&lt;=1/3,1,(-B849+SQRT(4*B849-3*B849^2))/(2*B849)),1))</f>
        <v/>
      </c>
      <c r="D849" s="51">
        <f>IF(A849&gt;$B$6+0.0000001,1E+30,$B$5*IF($B$4=3,1.5*(1-C849)^3,IF($B$4=4,2*(1-C849)^4+6*C849*(1-C849)^3,0)))</f>
        <v/>
      </c>
    </row>
    <row r="850">
      <c r="A850" s="51" t="n">
        <v>0.841</v>
      </c>
      <c r="B850" s="52">
        <f>$B$3*A850^2</f>
        <v/>
      </c>
      <c r="C850" s="52">
        <f>IF($B$4=3,IF(B850&lt;=0.5,1,(1-B850)/B850),IF($B$4=4,IF(B850&lt;=1/3,1,(-B850+SQRT(4*B850-3*B850^2))/(2*B850)),1))</f>
        <v/>
      </c>
      <c r="D850" s="51">
        <f>IF(A850&gt;$B$6+0.0000001,1E+30,$B$5*IF($B$4=3,1.5*(1-C850)^3,IF($B$4=4,2*(1-C850)^4+6*C850*(1-C850)^3,0)))</f>
        <v/>
      </c>
    </row>
    <row r="851">
      <c r="A851" s="51" t="n">
        <v>0.842</v>
      </c>
      <c r="B851" s="52">
        <f>$B$3*A851^2</f>
        <v/>
      </c>
      <c r="C851" s="52">
        <f>IF($B$4=3,IF(B851&lt;=0.5,1,(1-B851)/B851),IF($B$4=4,IF(B851&lt;=1/3,1,(-B851+SQRT(4*B851-3*B851^2))/(2*B851)),1))</f>
        <v/>
      </c>
      <c r="D851" s="51">
        <f>IF(A851&gt;$B$6+0.0000001,1E+30,$B$5*IF($B$4=3,1.5*(1-C851)^3,IF($B$4=4,2*(1-C851)^4+6*C851*(1-C851)^3,0)))</f>
        <v/>
      </c>
    </row>
    <row r="852">
      <c r="A852" s="51" t="n">
        <v>0.843</v>
      </c>
      <c r="B852" s="52">
        <f>$B$3*A852^2</f>
        <v/>
      </c>
      <c r="C852" s="52">
        <f>IF($B$4=3,IF(B852&lt;=0.5,1,(1-B852)/B852),IF($B$4=4,IF(B852&lt;=1/3,1,(-B852+SQRT(4*B852-3*B852^2))/(2*B852)),1))</f>
        <v/>
      </c>
      <c r="D852" s="51">
        <f>IF(A852&gt;$B$6+0.0000001,1E+30,$B$5*IF($B$4=3,1.5*(1-C852)^3,IF($B$4=4,2*(1-C852)^4+6*C852*(1-C852)^3,0)))</f>
        <v/>
      </c>
    </row>
    <row r="853">
      <c r="A853" s="51" t="n">
        <v>0.844</v>
      </c>
      <c r="B853" s="52">
        <f>$B$3*A853^2</f>
        <v/>
      </c>
      <c r="C853" s="52">
        <f>IF($B$4=3,IF(B853&lt;=0.5,1,(1-B853)/B853),IF($B$4=4,IF(B853&lt;=1/3,1,(-B853+SQRT(4*B853-3*B853^2))/(2*B853)),1))</f>
        <v/>
      </c>
      <c r="D853" s="51">
        <f>IF(A853&gt;$B$6+0.0000001,1E+30,$B$5*IF($B$4=3,1.5*(1-C853)^3,IF($B$4=4,2*(1-C853)^4+6*C853*(1-C853)^3,0)))</f>
        <v/>
      </c>
    </row>
    <row r="854">
      <c r="A854" s="51" t="n">
        <v>0.845</v>
      </c>
      <c r="B854" s="52">
        <f>$B$3*A854^2</f>
        <v/>
      </c>
      <c r="C854" s="52">
        <f>IF($B$4=3,IF(B854&lt;=0.5,1,(1-B854)/B854),IF($B$4=4,IF(B854&lt;=1/3,1,(-B854+SQRT(4*B854-3*B854^2))/(2*B854)),1))</f>
        <v/>
      </c>
      <c r="D854" s="51">
        <f>IF(A854&gt;$B$6+0.0000001,1E+30,$B$5*IF($B$4=3,1.5*(1-C854)^3,IF($B$4=4,2*(1-C854)^4+6*C854*(1-C854)^3,0)))</f>
        <v/>
      </c>
    </row>
    <row r="855">
      <c r="A855" s="51" t="n">
        <v>0.846</v>
      </c>
      <c r="B855" s="52">
        <f>$B$3*A855^2</f>
        <v/>
      </c>
      <c r="C855" s="52">
        <f>IF($B$4=3,IF(B855&lt;=0.5,1,(1-B855)/B855),IF($B$4=4,IF(B855&lt;=1/3,1,(-B855+SQRT(4*B855-3*B855^2))/(2*B855)),1))</f>
        <v/>
      </c>
      <c r="D855" s="51">
        <f>IF(A855&gt;$B$6+0.0000001,1E+30,$B$5*IF($B$4=3,1.5*(1-C855)^3,IF($B$4=4,2*(1-C855)^4+6*C855*(1-C855)^3,0)))</f>
        <v/>
      </c>
    </row>
    <row r="856">
      <c r="A856" s="51" t="n">
        <v>0.847</v>
      </c>
      <c r="B856" s="52">
        <f>$B$3*A856^2</f>
        <v/>
      </c>
      <c r="C856" s="52">
        <f>IF($B$4=3,IF(B856&lt;=0.5,1,(1-B856)/B856),IF($B$4=4,IF(B856&lt;=1/3,1,(-B856+SQRT(4*B856-3*B856^2))/(2*B856)),1))</f>
        <v/>
      </c>
      <c r="D856" s="51">
        <f>IF(A856&gt;$B$6+0.0000001,1E+30,$B$5*IF($B$4=3,1.5*(1-C856)^3,IF($B$4=4,2*(1-C856)^4+6*C856*(1-C856)^3,0)))</f>
        <v/>
      </c>
    </row>
    <row r="857">
      <c r="A857" s="51" t="n">
        <v>0.848</v>
      </c>
      <c r="B857" s="52">
        <f>$B$3*A857^2</f>
        <v/>
      </c>
      <c r="C857" s="52">
        <f>IF($B$4=3,IF(B857&lt;=0.5,1,(1-B857)/B857),IF($B$4=4,IF(B857&lt;=1/3,1,(-B857+SQRT(4*B857-3*B857^2))/(2*B857)),1))</f>
        <v/>
      </c>
      <c r="D857" s="51">
        <f>IF(A857&gt;$B$6+0.0000001,1E+30,$B$5*IF($B$4=3,1.5*(1-C857)^3,IF($B$4=4,2*(1-C857)^4+6*C857*(1-C857)^3,0)))</f>
        <v/>
      </c>
    </row>
    <row r="858">
      <c r="A858" s="51" t="n">
        <v>0.849</v>
      </c>
      <c r="B858" s="52">
        <f>$B$3*A858^2</f>
        <v/>
      </c>
      <c r="C858" s="52">
        <f>IF($B$4=3,IF(B858&lt;=0.5,1,(1-B858)/B858),IF($B$4=4,IF(B858&lt;=1/3,1,(-B858+SQRT(4*B858-3*B858^2))/(2*B858)),1))</f>
        <v/>
      </c>
      <c r="D858" s="51">
        <f>IF(A858&gt;$B$6+0.0000001,1E+30,$B$5*IF($B$4=3,1.5*(1-C858)^3,IF($B$4=4,2*(1-C858)^4+6*C858*(1-C858)^3,0)))</f>
        <v/>
      </c>
    </row>
    <row r="859">
      <c r="A859" s="51" t="n">
        <v>0.85</v>
      </c>
      <c r="B859" s="52">
        <f>$B$3*A859^2</f>
        <v/>
      </c>
      <c r="C859" s="52">
        <f>IF($B$4=3,IF(B859&lt;=0.5,1,(1-B859)/B859),IF($B$4=4,IF(B859&lt;=1/3,1,(-B859+SQRT(4*B859-3*B859^2))/(2*B859)),1))</f>
        <v/>
      </c>
      <c r="D859" s="51">
        <f>IF(A859&gt;$B$6+0.0000001,1E+30,$B$5*IF($B$4=3,1.5*(1-C859)^3,IF($B$4=4,2*(1-C859)^4+6*C859*(1-C859)^3,0)))</f>
        <v/>
      </c>
    </row>
    <row r="860">
      <c r="A860" s="51" t="n">
        <v>0.851</v>
      </c>
      <c r="B860" s="52">
        <f>$B$3*A860^2</f>
        <v/>
      </c>
      <c r="C860" s="52">
        <f>IF($B$4=3,IF(B860&lt;=0.5,1,(1-B860)/B860),IF($B$4=4,IF(B860&lt;=1/3,1,(-B860+SQRT(4*B860-3*B860^2))/(2*B860)),1))</f>
        <v/>
      </c>
      <c r="D860" s="51">
        <f>IF(A860&gt;$B$6+0.0000001,1E+30,$B$5*IF($B$4=3,1.5*(1-C860)^3,IF($B$4=4,2*(1-C860)^4+6*C860*(1-C860)^3,0)))</f>
        <v/>
      </c>
    </row>
    <row r="861">
      <c r="A861" s="51" t="n">
        <v>0.852</v>
      </c>
      <c r="B861" s="52">
        <f>$B$3*A861^2</f>
        <v/>
      </c>
      <c r="C861" s="52">
        <f>IF($B$4=3,IF(B861&lt;=0.5,1,(1-B861)/B861),IF($B$4=4,IF(B861&lt;=1/3,1,(-B861+SQRT(4*B861-3*B861^2))/(2*B861)),1))</f>
        <v/>
      </c>
      <c r="D861" s="51">
        <f>IF(A861&gt;$B$6+0.0000001,1E+30,$B$5*IF($B$4=3,1.5*(1-C861)^3,IF($B$4=4,2*(1-C861)^4+6*C861*(1-C861)^3,0)))</f>
        <v/>
      </c>
    </row>
    <row r="862">
      <c r="A862" s="51" t="n">
        <v>0.853</v>
      </c>
      <c r="B862" s="52">
        <f>$B$3*A862^2</f>
        <v/>
      </c>
      <c r="C862" s="52">
        <f>IF($B$4=3,IF(B862&lt;=0.5,1,(1-B862)/B862),IF($B$4=4,IF(B862&lt;=1/3,1,(-B862+SQRT(4*B862-3*B862^2))/(2*B862)),1))</f>
        <v/>
      </c>
      <c r="D862" s="51">
        <f>IF(A862&gt;$B$6+0.0000001,1E+30,$B$5*IF($B$4=3,1.5*(1-C862)^3,IF($B$4=4,2*(1-C862)^4+6*C862*(1-C862)^3,0)))</f>
        <v/>
      </c>
    </row>
    <row r="863">
      <c r="A863" s="51" t="n">
        <v>0.854</v>
      </c>
      <c r="B863" s="52">
        <f>$B$3*A863^2</f>
        <v/>
      </c>
      <c r="C863" s="52">
        <f>IF($B$4=3,IF(B863&lt;=0.5,1,(1-B863)/B863),IF($B$4=4,IF(B863&lt;=1/3,1,(-B863+SQRT(4*B863-3*B863^2))/(2*B863)),1))</f>
        <v/>
      </c>
      <c r="D863" s="51">
        <f>IF(A863&gt;$B$6+0.0000001,1E+30,$B$5*IF($B$4=3,1.5*(1-C863)^3,IF($B$4=4,2*(1-C863)^4+6*C863*(1-C863)^3,0)))</f>
        <v/>
      </c>
    </row>
    <row r="864">
      <c r="A864" s="51" t="n">
        <v>0.855</v>
      </c>
      <c r="B864" s="52">
        <f>$B$3*A864^2</f>
        <v/>
      </c>
      <c r="C864" s="52">
        <f>IF($B$4=3,IF(B864&lt;=0.5,1,(1-B864)/B864),IF($B$4=4,IF(B864&lt;=1/3,1,(-B864+SQRT(4*B864-3*B864^2))/(2*B864)),1))</f>
        <v/>
      </c>
      <c r="D864" s="51">
        <f>IF(A864&gt;$B$6+0.0000001,1E+30,$B$5*IF($B$4=3,1.5*(1-C864)^3,IF($B$4=4,2*(1-C864)^4+6*C864*(1-C864)^3,0)))</f>
        <v/>
      </c>
    </row>
    <row r="865">
      <c r="A865" s="51" t="n">
        <v>0.856</v>
      </c>
      <c r="B865" s="52">
        <f>$B$3*A865^2</f>
        <v/>
      </c>
      <c r="C865" s="52">
        <f>IF($B$4=3,IF(B865&lt;=0.5,1,(1-B865)/B865),IF($B$4=4,IF(B865&lt;=1/3,1,(-B865+SQRT(4*B865-3*B865^2))/(2*B865)),1))</f>
        <v/>
      </c>
      <c r="D865" s="51">
        <f>IF(A865&gt;$B$6+0.0000001,1E+30,$B$5*IF($B$4=3,1.5*(1-C865)^3,IF($B$4=4,2*(1-C865)^4+6*C865*(1-C865)^3,0)))</f>
        <v/>
      </c>
    </row>
    <row r="866">
      <c r="A866" s="51" t="n">
        <v>0.857</v>
      </c>
      <c r="B866" s="52">
        <f>$B$3*A866^2</f>
        <v/>
      </c>
      <c r="C866" s="52">
        <f>IF($B$4=3,IF(B866&lt;=0.5,1,(1-B866)/B866),IF($B$4=4,IF(B866&lt;=1/3,1,(-B866+SQRT(4*B866-3*B866^2))/(2*B866)),1))</f>
        <v/>
      </c>
      <c r="D866" s="51">
        <f>IF(A866&gt;$B$6+0.0000001,1E+30,$B$5*IF($B$4=3,1.5*(1-C866)^3,IF($B$4=4,2*(1-C866)^4+6*C866*(1-C866)^3,0)))</f>
        <v/>
      </c>
    </row>
    <row r="867">
      <c r="A867" s="51" t="n">
        <v>0.858</v>
      </c>
      <c r="B867" s="52">
        <f>$B$3*A867^2</f>
        <v/>
      </c>
      <c r="C867" s="52">
        <f>IF($B$4=3,IF(B867&lt;=0.5,1,(1-B867)/B867),IF($B$4=4,IF(B867&lt;=1/3,1,(-B867+SQRT(4*B867-3*B867^2))/(2*B867)),1))</f>
        <v/>
      </c>
      <c r="D867" s="51">
        <f>IF(A867&gt;$B$6+0.0000001,1E+30,$B$5*IF($B$4=3,1.5*(1-C867)^3,IF($B$4=4,2*(1-C867)^4+6*C867*(1-C867)^3,0)))</f>
        <v/>
      </c>
    </row>
    <row r="868">
      <c r="A868" s="51" t="n">
        <v>0.859</v>
      </c>
      <c r="B868" s="52">
        <f>$B$3*A868^2</f>
        <v/>
      </c>
      <c r="C868" s="52">
        <f>IF($B$4=3,IF(B868&lt;=0.5,1,(1-B868)/B868),IF($B$4=4,IF(B868&lt;=1/3,1,(-B868+SQRT(4*B868-3*B868^2))/(2*B868)),1))</f>
        <v/>
      </c>
      <c r="D868" s="51">
        <f>IF(A868&gt;$B$6+0.0000001,1E+30,$B$5*IF($B$4=3,1.5*(1-C868)^3,IF($B$4=4,2*(1-C868)^4+6*C868*(1-C868)^3,0)))</f>
        <v/>
      </c>
    </row>
    <row r="869">
      <c r="A869" s="51" t="n">
        <v>0.86</v>
      </c>
      <c r="B869" s="52">
        <f>$B$3*A869^2</f>
        <v/>
      </c>
      <c r="C869" s="52">
        <f>IF($B$4=3,IF(B869&lt;=0.5,1,(1-B869)/B869),IF($B$4=4,IF(B869&lt;=1/3,1,(-B869+SQRT(4*B869-3*B869^2))/(2*B869)),1))</f>
        <v/>
      </c>
      <c r="D869" s="51">
        <f>IF(A869&gt;$B$6+0.0000001,1E+30,$B$5*IF($B$4=3,1.5*(1-C869)^3,IF($B$4=4,2*(1-C869)^4+6*C869*(1-C869)^3,0)))</f>
        <v/>
      </c>
    </row>
    <row r="870">
      <c r="A870" s="51" t="n">
        <v>0.861</v>
      </c>
      <c r="B870" s="52">
        <f>$B$3*A870^2</f>
        <v/>
      </c>
      <c r="C870" s="52">
        <f>IF($B$4=3,IF(B870&lt;=0.5,1,(1-B870)/B870),IF($B$4=4,IF(B870&lt;=1/3,1,(-B870+SQRT(4*B870-3*B870^2))/(2*B870)),1))</f>
        <v/>
      </c>
      <c r="D870" s="51">
        <f>IF(A870&gt;$B$6+0.0000001,1E+30,$B$5*IF($B$4=3,1.5*(1-C870)^3,IF($B$4=4,2*(1-C870)^4+6*C870*(1-C870)^3,0)))</f>
        <v/>
      </c>
    </row>
    <row r="871">
      <c r="A871" s="51" t="n">
        <v>0.862</v>
      </c>
      <c r="B871" s="52">
        <f>$B$3*A871^2</f>
        <v/>
      </c>
      <c r="C871" s="52">
        <f>IF($B$4=3,IF(B871&lt;=0.5,1,(1-B871)/B871),IF($B$4=4,IF(B871&lt;=1/3,1,(-B871+SQRT(4*B871-3*B871^2))/(2*B871)),1))</f>
        <v/>
      </c>
      <c r="D871" s="51">
        <f>IF(A871&gt;$B$6+0.0000001,1E+30,$B$5*IF($B$4=3,1.5*(1-C871)^3,IF($B$4=4,2*(1-C871)^4+6*C871*(1-C871)^3,0)))</f>
        <v/>
      </c>
    </row>
    <row r="872">
      <c r="A872" s="51" t="n">
        <v>0.863</v>
      </c>
      <c r="B872" s="52">
        <f>$B$3*A872^2</f>
        <v/>
      </c>
      <c r="C872" s="52">
        <f>IF($B$4=3,IF(B872&lt;=0.5,1,(1-B872)/B872),IF($B$4=4,IF(B872&lt;=1/3,1,(-B872+SQRT(4*B872-3*B872^2))/(2*B872)),1))</f>
        <v/>
      </c>
      <c r="D872" s="51">
        <f>IF(A872&gt;$B$6+0.0000001,1E+30,$B$5*IF($B$4=3,1.5*(1-C872)^3,IF($B$4=4,2*(1-C872)^4+6*C872*(1-C872)^3,0)))</f>
        <v/>
      </c>
    </row>
    <row r="873">
      <c r="A873" s="51" t="n">
        <v>0.864</v>
      </c>
      <c r="B873" s="52">
        <f>$B$3*A873^2</f>
        <v/>
      </c>
      <c r="C873" s="52">
        <f>IF($B$4=3,IF(B873&lt;=0.5,1,(1-B873)/B873),IF($B$4=4,IF(B873&lt;=1/3,1,(-B873+SQRT(4*B873-3*B873^2))/(2*B873)),1))</f>
        <v/>
      </c>
      <c r="D873" s="51">
        <f>IF(A873&gt;$B$6+0.0000001,1E+30,$B$5*IF($B$4=3,1.5*(1-C873)^3,IF($B$4=4,2*(1-C873)^4+6*C873*(1-C873)^3,0)))</f>
        <v/>
      </c>
    </row>
    <row r="874">
      <c r="A874" s="51" t="n">
        <v>0.865</v>
      </c>
      <c r="B874" s="52">
        <f>$B$3*A874^2</f>
        <v/>
      </c>
      <c r="C874" s="52">
        <f>IF($B$4=3,IF(B874&lt;=0.5,1,(1-B874)/B874),IF($B$4=4,IF(B874&lt;=1/3,1,(-B874+SQRT(4*B874-3*B874^2))/(2*B874)),1))</f>
        <v/>
      </c>
      <c r="D874" s="51">
        <f>IF(A874&gt;$B$6+0.0000001,1E+30,$B$5*IF($B$4=3,1.5*(1-C874)^3,IF($B$4=4,2*(1-C874)^4+6*C874*(1-C874)^3,0)))</f>
        <v/>
      </c>
    </row>
    <row r="875">
      <c r="A875" s="51" t="n">
        <v>0.866</v>
      </c>
      <c r="B875" s="52">
        <f>$B$3*A875^2</f>
        <v/>
      </c>
      <c r="C875" s="52">
        <f>IF($B$4=3,IF(B875&lt;=0.5,1,(1-B875)/B875),IF($B$4=4,IF(B875&lt;=1/3,1,(-B875+SQRT(4*B875-3*B875^2))/(2*B875)),1))</f>
        <v/>
      </c>
      <c r="D875" s="51">
        <f>IF(A875&gt;$B$6+0.0000001,1E+30,$B$5*IF($B$4=3,1.5*(1-C875)^3,IF($B$4=4,2*(1-C875)^4+6*C875*(1-C875)^3,0)))</f>
        <v/>
      </c>
    </row>
    <row r="876">
      <c r="A876" s="51" t="n">
        <v>0.867</v>
      </c>
      <c r="B876" s="52">
        <f>$B$3*A876^2</f>
        <v/>
      </c>
      <c r="C876" s="52">
        <f>IF($B$4=3,IF(B876&lt;=0.5,1,(1-B876)/B876),IF($B$4=4,IF(B876&lt;=1/3,1,(-B876+SQRT(4*B876-3*B876^2))/(2*B876)),1))</f>
        <v/>
      </c>
      <c r="D876" s="51">
        <f>IF(A876&gt;$B$6+0.0000001,1E+30,$B$5*IF($B$4=3,1.5*(1-C876)^3,IF($B$4=4,2*(1-C876)^4+6*C876*(1-C876)^3,0)))</f>
        <v/>
      </c>
    </row>
    <row r="877">
      <c r="A877" s="51" t="n">
        <v>0.868</v>
      </c>
      <c r="B877" s="52">
        <f>$B$3*A877^2</f>
        <v/>
      </c>
      <c r="C877" s="52">
        <f>IF($B$4=3,IF(B877&lt;=0.5,1,(1-B877)/B877),IF($B$4=4,IF(B877&lt;=1/3,1,(-B877+SQRT(4*B877-3*B877^2))/(2*B877)),1))</f>
        <v/>
      </c>
      <c r="D877" s="51">
        <f>IF(A877&gt;$B$6+0.0000001,1E+30,$B$5*IF($B$4=3,1.5*(1-C877)^3,IF($B$4=4,2*(1-C877)^4+6*C877*(1-C877)^3,0)))</f>
        <v/>
      </c>
    </row>
    <row r="878">
      <c r="A878" s="51" t="n">
        <v>0.869</v>
      </c>
      <c r="B878" s="52">
        <f>$B$3*A878^2</f>
        <v/>
      </c>
      <c r="C878" s="52">
        <f>IF($B$4=3,IF(B878&lt;=0.5,1,(1-B878)/B878),IF($B$4=4,IF(B878&lt;=1/3,1,(-B878+SQRT(4*B878-3*B878^2))/(2*B878)),1))</f>
        <v/>
      </c>
      <c r="D878" s="51">
        <f>IF(A878&gt;$B$6+0.0000001,1E+30,$B$5*IF($B$4=3,1.5*(1-C878)^3,IF($B$4=4,2*(1-C878)^4+6*C878*(1-C878)^3,0)))</f>
        <v/>
      </c>
    </row>
    <row r="879">
      <c r="A879" s="51" t="n">
        <v>0.87</v>
      </c>
      <c r="B879" s="52">
        <f>$B$3*A879^2</f>
        <v/>
      </c>
      <c r="C879" s="52">
        <f>IF($B$4=3,IF(B879&lt;=0.5,1,(1-B879)/B879),IF($B$4=4,IF(B879&lt;=1/3,1,(-B879+SQRT(4*B879-3*B879^2))/(2*B879)),1))</f>
        <v/>
      </c>
      <c r="D879" s="51">
        <f>IF(A879&gt;$B$6+0.0000001,1E+30,$B$5*IF($B$4=3,1.5*(1-C879)^3,IF($B$4=4,2*(1-C879)^4+6*C879*(1-C879)^3,0)))</f>
        <v/>
      </c>
    </row>
    <row r="880">
      <c r="A880" s="51" t="n">
        <v>0.871</v>
      </c>
      <c r="B880" s="52">
        <f>$B$3*A880^2</f>
        <v/>
      </c>
      <c r="C880" s="52">
        <f>IF($B$4=3,IF(B880&lt;=0.5,1,(1-B880)/B880),IF($B$4=4,IF(B880&lt;=1/3,1,(-B880+SQRT(4*B880-3*B880^2))/(2*B880)),1))</f>
        <v/>
      </c>
      <c r="D880" s="51">
        <f>IF(A880&gt;$B$6+0.0000001,1E+30,$B$5*IF($B$4=3,1.5*(1-C880)^3,IF($B$4=4,2*(1-C880)^4+6*C880*(1-C880)^3,0)))</f>
        <v/>
      </c>
    </row>
    <row r="881">
      <c r="A881" s="51" t="n">
        <v>0.872</v>
      </c>
      <c r="B881" s="52">
        <f>$B$3*A881^2</f>
        <v/>
      </c>
      <c r="C881" s="52">
        <f>IF($B$4=3,IF(B881&lt;=0.5,1,(1-B881)/B881),IF($B$4=4,IF(B881&lt;=1/3,1,(-B881+SQRT(4*B881-3*B881^2))/(2*B881)),1))</f>
        <v/>
      </c>
      <c r="D881" s="51">
        <f>IF(A881&gt;$B$6+0.0000001,1E+30,$B$5*IF($B$4=3,1.5*(1-C881)^3,IF($B$4=4,2*(1-C881)^4+6*C881*(1-C881)^3,0)))</f>
        <v/>
      </c>
    </row>
    <row r="882">
      <c r="A882" s="51" t="n">
        <v>0.873</v>
      </c>
      <c r="B882" s="52">
        <f>$B$3*A882^2</f>
        <v/>
      </c>
      <c r="C882" s="52">
        <f>IF($B$4=3,IF(B882&lt;=0.5,1,(1-B882)/B882),IF($B$4=4,IF(B882&lt;=1/3,1,(-B882+SQRT(4*B882-3*B882^2))/(2*B882)),1))</f>
        <v/>
      </c>
      <c r="D882" s="51">
        <f>IF(A882&gt;$B$6+0.0000001,1E+30,$B$5*IF($B$4=3,1.5*(1-C882)^3,IF($B$4=4,2*(1-C882)^4+6*C882*(1-C882)^3,0)))</f>
        <v/>
      </c>
    </row>
    <row r="883">
      <c r="A883" s="51" t="n">
        <v>0.874</v>
      </c>
      <c r="B883" s="52">
        <f>$B$3*A883^2</f>
        <v/>
      </c>
      <c r="C883" s="52">
        <f>IF($B$4=3,IF(B883&lt;=0.5,1,(1-B883)/B883),IF($B$4=4,IF(B883&lt;=1/3,1,(-B883+SQRT(4*B883-3*B883^2))/(2*B883)),1))</f>
        <v/>
      </c>
      <c r="D883" s="51">
        <f>IF(A883&gt;$B$6+0.0000001,1E+30,$B$5*IF($B$4=3,1.5*(1-C883)^3,IF($B$4=4,2*(1-C883)^4+6*C883*(1-C883)^3,0)))</f>
        <v/>
      </c>
    </row>
    <row r="884">
      <c r="A884" s="51" t="n">
        <v>0.875</v>
      </c>
      <c r="B884" s="52">
        <f>$B$3*A884^2</f>
        <v/>
      </c>
      <c r="C884" s="52">
        <f>IF($B$4=3,IF(B884&lt;=0.5,1,(1-B884)/B884),IF($B$4=4,IF(B884&lt;=1/3,1,(-B884+SQRT(4*B884-3*B884^2))/(2*B884)),1))</f>
        <v/>
      </c>
      <c r="D884" s="51">
        <f>IF(A884&gt;$B$6+0.0000001,1E+30,$B$5*IF($B$4=3,1.5*(1-C884)^3,IF($B$4=4,2*(1-C884)^4+6*C884*(1-C884)^3,0)))</f>
        <v/>
      </c>
    </row>
    <row r="885">
      <c r="A885" s="51" t="n">
        <v>0.876</v>
      </c>
      <c r="B885" s="52">
        <f>$B$3*A885^2</f>
        <v/>
      </c>
      <c r="C885" s="52">
        <f>IF($B$4=3,IF(B885&lt;=0.5,1,(1-B885)/B885),IF($B$4=4,IF(B885&lt;=1/3,1,(-B885+SQRT(4*B885-3*B885^2))/(2*B885)),1))</f>
        <v/>
      </c>
      <c r="D885" s="51">
        <f>IF(A885&gt;$B$6+0.0000001,1E+30,$B$5*IF($B$4=3,1.5*(1-C885)^3,IF($B$4=4,2*(1-C885)^4+6*C885*(1-C885)^3,0)))</f>
        <v/>
      </c>
    </row>
    <row r="886">
      <c r="A886" s="51" t="n">
        <v>0.877</v>
      </c>
      <c r="B886" s="52">
        <f>$B$3*A886^2</f>
        <v/>
      </c>
      <c r="C886" s="52">
        <f>IF($B$4=3,IF(B886&lt;=0.5,1,(1-B886)/B886),IF($B$4=4,IF(B886&lt;=1/3,1,(-B886+SQRT(4*B886-3*B886^2))/(2*B886)),1))</f>
        <v/>
      </c>
      <c r="D886" s="51">
        <f>IF(A886&gt;$B$6+0.0000001,1E+30,$B$5*IF($B$4=3,1.5*(1-C886)^3,IF($B$4=4,2*(1-C886)^4+6*C886*(1-C886)^3,0)))</f>
        <v/>
      </c>
    </row>
    <row r="887">
      <c r="A887" s="51" t="n">
        <v>0.878</v>
      </c>
      <c r="B887" s="52">
        <f>$B$3*A887^2</f>
        <v/>
      </c>
      <c r="C887" s="52">
        <f>IF($B$4=3,IF(B887&lt;=0.5,1,(1-B887)/B887),IF($B$4=4,IF(B887&lt;=1/3,1,(-B887+SQRT(4*B887-3*B887^2))/(2*B887)),1))</f>
        <v/>
      </c>
      <c r="D887" s="51">
        <f>IF(A887&gt;$B$6+0.0000001,1E+30,$B$5*IF($B$4=3,1.5*(1-C887)^3,IF($B$4=4,2*(1-C887)^4+6*C887*(1-C887)^3,0)))</f>
        <v/>
      </c>
    </row>
    <row r="888">
      <c r="A888" s="51" t="n">
        <v>0.879</v>
      </c>
      <c r="B888" s="52">
        <f>$B$3*A888^2</f>
        <v/>
      </c>
      <c r="C888" s="52">
        <f>IF($B$4=3,IF(B888&lt;=0.5,1,(1-B888)/B888),IF($B$4=4,IF(B888&lt;=1/3,1,(-B888+SQRT(4*B888-3*B888^2))/(2*B888)),1))</f>
        <v/>
      </c>
      <c r="D888" s="51">
        <f>IF(A888&gt;$B$6+0.0000001,1E+30,$B$5*IF($B$4=3,1.5*(1-C888)^3,IF($B$4=4,2*(1-C888)^4+6*C888*(1-C888)^3,0)))</f>
        <v/>
      </c>
    </row>
    <row r="889">
      <c r="A889" s="51" t="n">
        <v>0.88</v>
      </c>
      <c r="B889" s="52">
        <f>$B$3*A889^2</f>
        <v/>
      </c>
      <c r="C889" s="52">
        <f>IF($B$4=3,IF(B889&lt;=0.5,1,(1-B889)/B889),IF($B$4=4,IF(B889&lt;=1/3,1,(-B889+SQRT(4*B889-3*B889^2))/(2*B889)),1))</f>
        <v/>
      </c>
      <c r="D889" s="51">
        <f>IF(A889&gt;$B$6+0.0000001,1E+30,$B$5*IF($B$4=3,1.5*(1-C889)^3,IF($B$4=4,2*(1-C889)^4+6*C889*(1-C889)^3,0)))</f>
        <v/>
      </c>
    </row>
    <row r="890">
      <c r="A890" s="51" t="n">
        <v>0.881</v>
      </c>
      <c r="B890" s="52">
        <f>$B$3*A890^2</f>
        <v/>
      </c>
      <c r="C890" s="52">
        <f>IF($B$4=3,IF(B890&lt;=0.5,1,(1-B890)/B890),IF($B$4=4,IF(B890&lt;=1/3,1,(-B890+SQRT(4*B890-3*B890^2))/(2*B890)),1))</f>
        <v/>
      </c>
      <c r="D890" s="51">
        <f>IF(A890&gt;$B$6+0.0000001,1E+30,$B$5*IF($B$4=3,1.5*(1-C890)^3,IF($B$4=4,2*(1-C890)^4+6*C890*(1-C890)^3,0)))</f>
        <v/>
      </c>
    </row>
    <row r="891">
      <c r="A891" s="51" t="n">
        <v>0.882</v>
      </c>
      <c r="B891" s="52">
        <f>$B$3*A891^2</f>
        <v/>
      </c>
      <c r="C891" s="52">
        <f>IF($B$4=3,IF(B891&lt;=0.5,1,(1-B891)/B891),IF($B$4=4,IF(B891&lt;=1/3,1,(-B891+SQRT(4*B891-3*B891^2))/(2*B891)),1))</f>
        <v/>
      </c>
      <c r="D891" s="51">
        <f>IF(A891&gt;$B$6+0.0000001,1E+30,$B$5*IF($B$4=3,1.5*(1-C891)^3,IF($B$4=4,2*(1-C891)^4+6*C891*(1-C891)^3,0)))</f>
        <v/>
      </c>
    </row>
    <row r="892">
      <c r="A892" s="51" t="n">
        <v>0.883</v>
      </c>
      <c r="B892" s="52">
        <f>$B$3*A892^2</f>
        <v/>
      </c>
      <c r="C892" s="52">
        <f>IF($B$4=3,IF(B892&lt;=0.5,1,(1-B892)/B892),IF($B$4=4,IF(B892&lt;=1/3,1,(-B892+SQRT(4*B892-3*B892^2))/(2*B892)),1))</f>
        <v/>
      </c>
      <c r="D892" s="51">
        <f>IF(A892&gt;$B$6+0.0000001,1E+30,$B$5*IF($B$4=3,1.5*(1-C892)^3,IF($B$4=4,2*(1-C892)^4+6*C892*(1-C892)^3,0)))</f>
        <v/>
      </c>
    </row>
    <row r="893">
      <c r="A893" s="51" t="n">
        <v>0.884</v>
      </c>
      <c r="B893" s="52">
        <f>$B$3*A893^2</f>
        <v/>
      </c>
      <c r="C893" s="52">
        <f>IF($B$4=3,IF(B893&lt;=0.5,1,(1-B893)/B893),IF($B$4=4,IF(B893&lt;=1/3,1,(-B893+SQRT(4*B893-3*B893^2))/(2*B893)),1))</f>
        <v/>
      </c>
      <c r="D893" s="51">
        <f>IF(A893&gt;$B$6+0.0000001,1E+30,$B$5*IF($B$4=3,1.5*(1-C893)^3,IF($B$4=4,2*(1-C893)^4+6*C893*(1-C893)^3,0)))</f>
        <v/>
      </c>
    </row>
    <row r="894">
      <c r="A894" s="51" t="n">
        <v>0.885</v>
      </c>
      <c r="B894" s="52">
        <f>$B$3*A894^2</f>
        <v/>
      </c>
      <c r="C894" s="52">
        <f>IF($B$4=3,IF(B894&lt;=0.5,1,(1-B894)/B894),IF($B$4=4,IF(B894&lt;=1/3,1,(-B894+SQRT(4*B894-3*B894^2))/(2*B894)),1))</f>
        <v/>
      </c>
      <c r="D894" s="51">
        <f>IF(A894&gt;$B$6+0.0000001,1E+30,$B$5*IF($B$4=3,1.5*(1-C894)^3,IF($B$4=4,2*(1-C894)^4+6*C894*(1-C894)^3,0)))</f>
        <v/>
      </c>
    </row>
    <row r="895">
      <c r="A895" s="51" t="n">
        <v>0.886</v>
      </c>
      <c r="B895" s="52">
        <f>$B$3*A895^2</f>
        <v/>
      </c>
      <c r="C895" s="52">
        <f>IF($B$4=3,IF(B895&lt;=0.5,1,(1-B895)/B895),IF($B$4=4,IF(B895&lt;=1/3,1,(-B895+SQRT(4*B895-3*B895^2))/(2*B895)),1))</f>
        <v/>
      </c>
      <c r="D895" s="51">
        <f>IF(A895&gt;$B$6+0.0000001,1E+30,$B$5*IF($B$4=3,1.5*(1-C895)^3,IF($B$4=4,2*(1-C895)^4+6*C895*(1-C895)^3,0)))</f>
        <v/>
      </c>
    </row>
    <row r="896">
      <c r="A896" s="51" t="n">
        <v>0.887</v>
      </c>
      <c r="B896" s="52">
        <f>$B$3*A896^2</f>
        <v/>
      </c>
      <c r="C896" s="52">
        <f>IF($B$4=3,IF(B896&lt;=0.5,1,(1-B896)/B896),IF($B$4=4,IF(B896&lt;=1/3,1,(-B896+SQRT(4*B896-3*B896^2))/(2*B896)),1))</f>
        <v/>
      </c>
      <c r="D896" s="51">
        <f>IF(A896&gt;$B$6+0.0000001,1E+30,$B$5*IF($B$4=3,1.5*(1-C896)^3,IF($B$4=4,2*(1-C896)^4+6*C896*(1-C896)^3,0)))</f>
        <v/>
      </c>
    </row>
    <row r="897">
      <c r="A897" s="51" t="n">
        <v>0.888</v>
      </c>
      <c r="B897" s="52">
        <f>$B$3*A897^2</f>
        <v/>
      </c>
      <c r="C897" s="52">
        <f>IF($B$4=3,IF(B897&lt;=0.5,1,(1-B897)/B897),IF($B$4=4,IF(B897&lt;=1/3,1,(-B897+SQRT(4*B897-3*B897^2))/(2*B897)),1))</f>
        <v/>
      </c>
      <c r="D897" s="51">
        <f>IF(A897&gt;$B$6+0.0000001,1E+30,$B$5*IF($B$4=3,1.5*(1-C897)^3,IF($B$4=4,2*(1-C897)^4+6*C897*(1-C897)^3,0)))</f>
        <v/>
      </c>
    </row>
    <row r="898">
      <c r="A898" s="51" t="n">
        <v>0.889</v>
      </c>
      <c r="B898" s="52">
        <f>$B$3*A898^2</f>
        <v/>
      </c>
      <c r="C898" s="52">
        <f>IF($B$4=3,IF(B898&lt;=0.5,1,(1-B898)/B898),IF($B$4=4,IF(B898&lt;=1/3,1,(-B898+SQRT(4*B898-3*B898^2))/(2*B898)),1))</f>
        <v/>
      </c>
      <c r="D898" s="51">
        <f>IF(A898&gt;$B$6+0.0000001,1E+30,$B$5*IF($B$4=3,1.5*(1-C898)^3,IF($B$4=4,2*(1-C898)^4+6*C898*(1-C898)^3,0)))</f>
        <v/>
      </c>
    </row>
    <row r="899">
      <c r="A899" s="51" t="n">
        <v>0.89</v>
      </c>
      <c r="B899" s="52">
        <f>$B$3*A899^2</f>
        <v/>
      </c>
      <c r="C899" s="52">
        <f>IF($B$4=3,IF(B899&lt;=0.5,1,(1-B899)/B899),IF($B$4=4,IF(B899&lt;=1/3,1,(-B899+SQRT(4*B899-3*B899^2))/(2*B899)),1))</f>
        <v/>
      </c>
      <c r="D899" s="51">
        <f>IF(A899&gt;$B$6+0.0000001,1E+30,$B$5*IF($B$4=3,1.5*(1-C899)^3,IF($B$4=4,2*(1-C899)^4+6*C899*(1-C899)^3,0)))</f>
        <v/>
      </c>
    </row>
    <row r="900">
      <c r="A900" s="51" t="n">
        <v>0.891</v>
      </c>
      <c r="B900" s="52">
        <f>$B$3*A900^2</f>
        <v/>
      </c>
      <c r="C900" s="52">
        <f>IF($B$4=3,IF(B900&lt;=0.5,1,(1-B900)/B900),IF($B$4=4,IF(B900&lt;=1/3,1,(-B900+SQRT(4*B900-3*B900^2))/(2*B900)),1))</f>
        <v/>
      </c>
      <c r="D900" s="51">
        <f>IF(A900&gt;$B$6+0.0000001,1E+30,$B$5*IF($B$4=3,1.5*(1-C900)^3,IF($B$4=4,2*(1-C900)^4+6*C900*(1-C900)^3,0)))</f>
        <v/>
      </c>
    </row>
    <row r="901">
      <c r="A901" s="51" t="n">
        <v>0.892</v>
      </c>
      <c r="B901" s="52">
        <f>$B$3*A901^2</f>
        <v/>
      </c>
      <c r="C901" s="52">
        <f>IF($B$4=3,IF(B901&lt;=0.5,1,(1-B901)/B901),IF($B$4=4,IF(B901&lt;=1/3,1,(-B901+SQRT(4*B901-3*B901^2))/(2*B901)),1))</f>
        <v/>
      </c>
      <c r="D901" s="51">
        <f>IF(A901&gt;$B$6+0.0000001,1E+30,$B$5*IF($B$4=3,1.5*(1-C901)^3,IF($B$4=4,2*(1-C901)^4+6*C901*(1-C901)^3,0)))</f>
        <v/>
      </c>
    </row>
    <row r="902">
      <c r="A902" s="51" t="n">
        <v>0.893</v>
      </c>
      <c r="B902" s="52">
        <f>$B$3*A902^2</f>
        <v/>
      </c>
      <c r="C902" s="52">
        <f>IF($B$4=3,IF(B902&lt;=0.5,1,(1-B902)/B902),IF($B$4=4,IF(B902&lt;=1/3,1,(-B902+SQRT(4*B902-3*B902^2))/(2*B902)),1))</f>
        <v/>
      </c>
      <c r="D902" s="51">
        <f>IF(A902&gt;$B$6+0.0000001,1E+30,$B$5*IF($B$4=3,1.5*(1-C902)^3,IF($B$4=4,2*(1-C902)^4+6*C902*(1-C902)^3,0)))</f>
        <v/>
      </c>
    </row>
    <row r="903">
      <c r="A903" s="51" t="n">
        <v>0.894</v>
      </c>
      <c r="B903" s="52">
        <f>$B$3*A903^2</f>
        <v/>
      </c>
      <c r="C903" s="52">
        <f>IF($B$4=3,IF(B903&lt;=0.5,1,(1-B903)/B903),IF($B$4=4,IF(B903&lt;=1/3,1,(-B903+SQRT(4*B903-3*B903^2))/(2*B903)),1))</f>
        <v/>
      </c>
      <c r="D903" s="51">
        <f>IF(A903&gt;$B$6+0.0000001,1E+30,$B$5*IF($B$4=3,1.5*(1-C903)^3,IF($B$4=4,2*(1-C903)^4+6*C903*(1-C903)^3,0)))</f>
        <v/>
      </c>
    </row>
    <row r="904">
      <c r="A904" s="51" t="n">
        <v>0.895</v>
      </c>
      <c r="B904" s="52">
        <f>$B$3*A904^2</f>
        <v/>
      </c>
      <c r="C904" s="52">
        <f>IF($B$4=3,IF(B904&lt;=0.5,1,(1-B904)/B904),IF($B$4=4,IF(B904&lt;=1/3,1,(-B904+SQRT(4*B904-3*B904^2))/(2*B904)),1))</f>
        <v/>
      </c>
      <c r="D904" s="51">
        <f>IF(A904&gt;$B$6+0.0000001,1E+30,$B$5*IF($B$4=3,1.5*(1-C904)^3,IF($B$4=4,2*(1-C904)^4+6*C904*(1-C904)^3,0)))</f>
        <v/>
      </c>
    </row>
    <row r="905">
      <c r="A905" s="51" t="n">
        <v>0.896</v>
      </c>
      <c r="B905" s="52">
        <f>$B$3*A905^2</f>
        <v/>
      </c>
      <c r="C905" s="52">
        <f>IF($B$4=3,IF(B905&lt;=0.5,1,(1-B905)/B905),IF($B$4=4,IF(B905&lt;=1/3,1,(-B905+SQRT(4*B905-3*B905^2))/(2*B905)),1))</f>
        <v/>
      </c>
      <c r="D905" s="51">
        <f>IF(A905&gt;$B$6+0.0000001,1E+30,$B$5*IF($B$4=3,1.5*(1-C905)^3,IF($B$4=4,2*(1-C905)^4+6*C905*(1-C905)^3,0)))</f>
        <v/>
      </c>
    </row>
    <row r="906">
      <c r="A906" s="51" t="n">
        <v>0.897</v>
      </c>
      <c r="B906" s="52">
        <f>$B$3*A906^2</f>
        <v/>
      </c>
      <c r="C906" s="52">
        <f>IF($B$4=3,IF(B906&lt;=0.5,1,(1-B906)/B906),IF($B$4=4,IF(B906&lt;=1/3,1,(-B906+SQRT(4*B906-3*B906^2))/(2*B906)),1))</f>
        <v/>
      </c>
      <c r="D906" s="51">
        <f>IF(A906&gt;$B$6+0.0000001,1E+30,$B$5*IF($B$4=3,1.5*(1-C906)^3,IF($B$4=4,2*(1-C906)^4+6*C906*(1-C906)^3,0)))</f>
        <v/>
      </c>
    </row>
    <row r="907">
      <c r="A907" s="51" t="n">
        <v>0.898</v>
      </c>
      <c r="B907" s="52">
        <f>$B$3*A907^2</f>
        <v/>
      </c>
      <c r="C907" s="52">
        <f>IF($B$4=3,IF(B907&lt;=0.5,1,(1-B907)/B907),IF($B$4=4,IF(B907&lt;=1/3,1,(-B907+SQRT(4*B907-3*B907^2))/(2*B907)),1))</f>
        <v/>
      </c>
      <c r="D907" s="51">
        <f>IF(A907&gt;$B$6+0.0000001,1E+30,$B$5*IF($B$4=3,1.5*(1-C907)^3,IF($B$4=4,2*(1-C907)^4+6*C907*(1-C907)^3,0)))</f>
        <v/>
      </c>
    </row>
    <row r="908">
      <c r="A908" s="51" t="n">
        <v>0.899</v>
      </c>
      <c r="B908" s="52">
        <f>$B$3*A908^2</f>
        <v/>
      </c>
      <c r="C908" s="52">
        <f>IF($B$4=3,IF(B908&lt;=0.5,1,(1-B908)/B908),IF($B$4=4,IF(B908&lt;=1/3,1,(-B908+SQRT(4*B908-3*B908^2))/(2*B908)),1))</f>
        <v/>
      </c>
      <c r="D908" s="51">
        <f>IF(A908&gt;$B$6+0.0000001,1E+30,$B$5*IF($B$4=3,1.5*(1-C908)^3,IF($B$4=4,2*(1-C908)^4+6*C908*(1-C908)^3,0)))</f>
        <v/>
      </c>
    </row>
    <row r="909">
      <c r="A909" s="51" t="n">
        <v>0.9</v>
      </c>
      <c r="B909" s="52">
        <f>$B$3*A909^2</f>
        <v/>
      </c>
      <c r="C909" s="52">
        <f>IF($B$4=3,IF(B909&lt;=0.5,1,(1-B909)/B909),IF($B$4=4,IF(B909&lt;=1/3,1,(-B909+SQRT(4*B909-3*B909^2))/(2*B909)),1))</f>
        <v/>
      </c>
      <c r="D909" s="51">
        <f>IF(A909&gt;$B$6+0.0000001,1E+30,$B$5*IF($B$4=3,1.5*(1-C909)^3,IF($B$4=4,2*(1-C909)^4+6*C909*(1-C909)^3,0)))</f>
        <v/>
      </c>
    </row>
    <row r="910">
      <c r="A910" s="51" t="n">
        <v>0.901</v>
      </c>
      <c r="B910" s="52">
        <f>$B$3*A910^2</f>
        <v/>
      </c>
      <c r="C910" s="52">
        <f>IF($B$4=3,IF(B910&lt;=0.5,1,(1-B910)/B910),IF($B$4=4,IF(B910&lt;=1/3,1,(-B910+SQRT(4*B910-3*B910^2))/(2*B910)),1))</f>
        <v/>
      </c>
      <c r="D910" s="51">
        <f>IF(A910&gt;$B$6+0.0000001,1E+30,$B$5*IF($B$4=3,1.5*(1-C910)^3,IF($B$4=4,2*(1-C910)^4+6*C910*(1-C910)^3,0)))</f>
        <v/>
      </c>
    </row>
    <row r="911">
      <c r="A911" s="51" t="n">
        <v>0.902</v>
      </c>
      <c r="B911" s="52">
        <f>$B$3*A911^2</f>
        <v/>
      </c>
      <c r="C911" s="52">
        <f>IF($B$4=3,IF(B911&lt;=0.5,1,(1-B911)/B911),IF($B$4=4,IF(B911&lt;=1/3,1,(-B911+SQRT(4*B911-3*B911^2))/(2*B911)),1))</f>
        <v/>
      </c>
      <c r="D911" s="51">
        <f>IF(A911&gt;$B$6+0.0000001,1E+30,$B$5*IF($B$4=3,1.5*(1-C911)^3,IF($B$4=4,2*(1-C911)^4+6*C911*(1-C911)^3,0)))</f>
        <v/>
      </c>
    </row>
    <row r="912">
      <c r="A912" s="51" t="n">
        <v>0.903</v>
      </c>
      <c r="B912" s="52">
        <f>$B$3*A912^2</f>
        <v/>
      </c>
      <c r="C912" s="52">
        <f>IF($B$4=3,IF(B912&lt;=0.5,1,(1-B912)/B912),IF($B$4=4,IF(B912&lt;=1/3,1,(-B912+SQRT(4*B912-3*B912^2))/(2*B912)),1))</f>
        <v/>
      </c>
      <c r="D912" s="51">
        <f>IF(A912&gt;$B$6+0.0000001,1E+30,$B$5*IF($B$4=3,1.5*(1-C912)^3,IF($B$4=4,2*(1-C912)^4+6*C912*(1-C912)^3,0)))</f>
        <v/>
      </c>
    </row>
    <row r="913">
      <c r="A913" s="51" t="n">
        <v>0.904</v>
      </c>
      <c r="B913" s="52">
        <f>$B$3*A913^2</f>
        <v/>
      </c>
      <c r="C913" s="52">
        <f>IF($B$4=3,IF(B913&lt;=0.5,1,(1-B913)/B913),IF($B$4=4,IF(B913&lt;=1/3,1,(-B913+SQRT(4*B913-3*B913^2))/(2*B913)),1))</f>
        <v/>
      </c>
      <c r="D913" s="51">
        <f>IF(A913&gt;$B$6+0.0000001,1E+30,$B$5*IF($B$4=3,1.5*(1-C913)^3,IF($B$4=4,2*(1-C913)^4+6*C913*(1-C913)^3,0)))</f>
        <v/>
      </c>
    </row>
    <row r="914">
      <c r="A914" s="51" t="n">
        <v>0.905</v>
      </c>
      <c r="B914" s="52">
        <f>$B$3*A914^2</f>
        <v/>
      </c>
      <c r="C914" s="52">
        <f>IF($B$4=3,IF(B914&lt;=0.5,1,(1-B914)/B914),IF($B$4=4,IF(B914&lt;=1/3,1,(-B914+SQRT(4*B914-3*B914^2))/(2*B914)),1))</f>
        <v/>
      </c>
      <c r="D914" s="51">
        <f>IF(A914&gt;$B$6+0.0000001,1E+30,$B$5*IF($B$4=3,1.5*(1-C914)^3,IF($B$4=4,2*(1-C914)^4+6*C914*(1-C914)^3,0)))</f>
        <v/>
      </c>
    </row>
    <row r="915">
      <c r="A915" s="51" t="n">
        <v>0.906</v>
      </c>
      <c r="B915" s="52">
        <f>$B$3*A915^2</f>
        <v/>
      </c>
      <c r="C915" s="52">
        <f>IF($B$4=3,IF(B915&lt;=0.5,1,(1-B915)/B915),IF($B$4=4,IF(B915&lt;=1/3,1,(-B915+SQRT(4*B915-3*B915^2))/(2*B915)),1))</f>
        <v/>
      </c>
      <c r="D915" s="51">
        <f>IF(A915&gt;$B$6+0.0000001,1E+30,$B$5*IF($B$4=3,1.5*(1-C915)^3,IF($B$4=4,2*(1-C915)^4+6*C915*(1-C915)^3,0)))</f>
        <v/>
      </c>
    </row>
    <row r="916">
      <c r="A916" s="51" t="n">
        <v>0.907</v>
      </c>
      <c r="B916" s="52">
        <f>$B$3*A916^2</f>
        <v/>
      </c>
      <c r="C916" s="52">
        <f>IF($B$4=3,IF(B916&lt;=0.5,1,(1-B916)/B916),IF($B$4=4,IF(B916&lt;=1/3,1,(-B916+SQRT(4*B916-3*B916^2))/(2*B916)),1))</f>
        <v/>
      </c>
      <c r="D916" s="51">
        <f>IF(A916&gt;$B$6+0.0000001,1E+30,$B$5*IF($B$4=3,1.5*(1-C916)^3,IF($B$4=4,2*(1-C916)^4+6*C916*(1-C916)^3,0)))</f>
        <v/>
      </c>
    </row>
    <row r="917">
      <c r="A917" s="51" t="n">
        <v>0.908</v>
      </c>
      <c r="B917" s="52">
        <f>$B$3*A917^2</f>
        <v/>
      </c>
      <c r="C917" s="52">
        <f>IF($B$4=3,IF(B917&lt;=0.5,1,(1-B917)/B917),IF($B$4=4,IF(B917&lt;=1/3,1,(-B917+SQRT(4*B917-3*B917^2))/(2*B917)),1))</f>
        <v/>
      </c>
      <c r="D917" s="51">
        <f>IF(A917&gt;$B$6+0.0000001,1E+30,$B$5*IF($B$4=3,1.5*(1-C917)^3,IF($B$4=4,2*(1-C917)^4+6*C917*(1-C917)^3,0)))</f>
        <v/>
      </c>
    </row>
    <row r="918">
      <c r="A918" s="51" t="n">
        <v>0.909</v>
      </c>
      <c r="B918" s="52">
        <f>$B$3*A918^2</f>
        <v/>
      </c>
      <c r="C918" s="52">
        <f>IF($B$4=3,IF(B918&lt;=0.5,1,(1-B918)/B918),IF($B$4=4,IF(B918&lt;=1/3,1,(-B918+SQRT(4*B918-3*B918^2))/(2*B918)),1))</f>
        <v/>
      </c>
      <c r="D918" s="51">
        <f>IF(A918&gt;$B$6+0.0000001,1E+30,$B$5*IF($B$4=3,1.5*(1-C918)^3,IF($B$4=4,2*(1-C918)^4+6*C918*(1-C918)^3,0)))</f>
        <v/>
      </c>
    </row>
    <row r="919">
      <c r="A919" s="51" t="n">
        <v>0.91</v>
      </c>
      <c r="B919" s="52">
        <f>$B$3*A919^2</f>
        <v/>
      </c>
      <c r="C919" s="52">
        <f>IF($B$4=3,IF(B919&lt;=0.5,1,(1-B919)/B919),IF($B$4=4,IF(B919&lt;=1/3,1,(-B919+SQRT(4*B919-3*B919^2))/(2*B919)),1))</f>
        <v/>
      </c>
      <c r="D919" s="51">
        <f>IF(A919&gt;$B$6+0.0000001,1E+30,$B$5*IF($B$4=3,1.5*(1-C919)^3,IF($B$4=4,2*(1-C919)^4+6*C919*(1-C919)^3,0)))</f>
        <v/>
      </c>
    </row>
    <row r="920">
      <c r="A920" s="51" t="n">
        <v>0.911</v>
      </c>
      <c r="B920" s="52">
        <f>$B$3*A920^2</f>
        <v/>
      </c>
      <c r="C920" s="52">
        <f>IF($B$4=3,IF(B920&lt;=0.5,1,(1-B920)/B920),IF($B$4=4,IF(B920&lt;=1/3,1,(-B920+SQRT(4*B920-3*B920^2))/(2*B920)),1))</f>
        <v/>
      </c>
      <c r="D920" s="51">
        <f>IF(A920&gt;$B$6+0.0000001,1E+30,$B$5*IF($B$4=3,1.5*(1-C920)^3,IF($B$4=4,2*(1-C920)^4+6*C920*(1-C920)^3,0)))</f>
        <v/>
      </c>
    </row>
    <row r="921">
      <c r="A921" s="51" t="n">
        <v>0.912</v>
      </c>
      <c r="B921" s="52">
        <f>$B$3*A921^2</f>
        <v/>
      </c>
      <c r="C921" s="52">
        <f>IF($B$4=3,IF(B921&lt;=0.5,1,(1-B921)/B921),IF($B$4=4,IF(B921&lt;=1/3,1,(-B921+SQRT(4*B921-3*B921^2))/(2*B921)),1))</f>
        <v/>
      </c>
      <c r="D921" s="51">
        <f>IF(A921&gt;$B$6+0.0000001,1E+30,$B$5*IF($B$4=3,1.5*(1-C921)^3,IF($B$4=4,2*(1-C921)^4+6*C921*(1-C921)^3,0)))</f>
        <v/>
      </c>
    </row>
    <row r="922">
      <c r="A922" s="51" t="n">
        <v>0.913</v>
      </c>
      <c r="B922" s="52">
        <f>$B$3*A922^2</f>
        <v/>
      </c>
      <c r="C922" s="52">
        <f>IF($B$4=3,IF(B922&lt;=0.5,1,(1-B922)/B922),IF($B$4=4,IF(B922&lt;=1/3,1,(-B922+SQRT(4*B922-3*B922^2))/(2*B922)),1))</f>
        <v/>
      </c>
      <c r="D922" s="51">
        <f>IF(A922&gt;$B$6+0.0000001,1E+30,$B$5*IF($B$4=3,1.5*(1-C922)^3,IF($B$4=4,2*(1-C922)^4+6*C922*(1-C922)^3,0)))</f>
        <v/>
      </c>
    </row>
    <row r="923">
      <c r="A923" s="51" t="n">
        <v>0.914</v>
      </c>
      <c r="B923" s="52">
        <f>$B$3*A923^2</f>
        <v/>
      </c>
      <c r="C923" s="52">
        <f>IF($B$4=3,IF(B923&lt;=0.5,1,(1-B923)/B923),IF($B$4=4,IF(B923&lt;=1/3,1,(-B923+SQRT(4*B923-3*B923^2))/(2*B923)),1))</f>
        <v/>
      </c>
      <c r="D923" s="51">
        <f>IF(A923&gt;$B$6+0.0000001,1E+30,$B$5*IF($B$4=3,1.5*(1-C923)^3,IF($B$4=4,2*(1-C923)^4+6*C923*(1-C923)^3,0)))</f>
        <v/>
      </c>
    </row>
    <row r="924">
      <c r="A924" s="51" t="n">
        <v>0.915</v>
      </c>
      <c r="B924" s="52">
        <f>$B$3*A924^2</f>
        <v/>
      </c>
      <c r="C924" s="52">
        <f>IF($B$4=3,IF(B924&lt;=0.5,1,(1-B924)/B924),IF($B$4=4,IF(B924&lt;=1/3,1,(-B924+SQRT(4*B924-3*B924^2))/(2*B924)),1))</f>
        <v/>
      </c>
      <c r="D924" s="51">
        <f>IF(A924&gt;$B$6+0.0000001,1E+30,$B$5*IF($B$4=3,1.5*(1-C924)^3,IF($B$4=4,2*(1-C924)^4+6*C924*(1-C924)^3,0)))</f>
        <v/>
      </c>
    </row>
    <row r="925">
      <c r="A925" s="51" t="n">
        <v>0.916</v>
      </c>
      <c r="B925" s="52">
        <f>$B$3*A925^2</f>
        <v/>
      </c>
      <c r="C925" s="52">
        <f>IF($B$4=3,IF(B925&lt;=0.5,1,(1-B925)/B925),IF($B$4=4,IF(B925&lt;=1/3,1,(-B925+SQRT(4*B925-3*B925^2))/(2*B925)),1))</f>
        <v/>
      </c>
      <c r="D925" s="51">
        <f>IF(A925&gt;$B$6+0.0000001,1E+30,$B$5*IF($B$4=3,1.5*(1-C925)^3,IF($B$4=4,2*(1-C925)^4+6*C925*(1-C925)^3,0)))</f>
        <v/>
      </c>
    </row>
    <row r="926">
      <c r="A926" s="51" t="n">
        <v>0.917</v>
      </c>
      <c r="B926" s="52">
        <f>$B$3*A926^2</f>
        <v/>
      </c>
      <c r="C926" s="52">
        <f>IF($B$4=3,IF(B926&lt;=0.5,1,(1-B926)/B926),IF($B$4=4,IF(B926&lt;=1/3,1,(-B926+SQRT(4*B926-3*B926^2))/(2*B926)),1))</f>
        <v/>
      </c>
      <c r="D926" s="51">
        <f>IF(A926&gt;$B$6+0.0000001,1E+30,$B$5*IF($B$4=3,1.5*(1-C926)^3,IF($B$4=4,2*(1-C926)^4+6*C926*(1-C926)^3,0)))</f>
        <v/>
      </c>
    </row>
    <row r="927">
      <c r="A927" s="51" t="n">
        <v>0.918</v>
      </c>
      <c r="B927" s="52">
        <f>$B$3*A927^2</f>
        <v/>
      </c>
      <c r="C927" s="52">
        <f>IF($B$4=3,IF(B927&lt;=0.5,1,(1-B927)/B927),IF($B$4=4,IF(B927&lt;=1/3,1,(-B927+SQRT(4*B927-3*B927^2))/(2*B927)),1))</f>
        <v/>
      </c>
      <c r="D927" s="51">
        <f>IF(A927&gt;$B$6+0.0000001,1E+30,$B$5*IF($B$4=3,1.5*(1-C927)^3,IF($B$4=4,2*(1-C927)^4+6*C927*(1-C927)^3,0)))</f>
        <v/>
      </c>
    </row>
    <row r="928">
      <c r="A928" s="51" t="n">
        <v>0.919</v>
      </c>
      <c r="B928" s="52">
        <f>$B$3*A928^2</f>
        <v/>
      </c>
      <c r="C928" s="52">
        <f>IF($B$4=3,IF(B928&lt;=0.5,1,(1-B928)/B928),IF($B$4=4,IF(B928&lt;=1/3,1,(-B928+SQRT(4*B928-3*B928^2))/(2*B928)),1))</f>
        <v/>
      </c>
      <c r="D928" s="51">
        <f>IF(A928&gt;$B$6+0.0000001,1E+30,$B$5*IF($B$4=3,1.5*(1-C928)^3,IF($B$4=4,2*(1-C928)^4+6*C928*(1-C928)^3,0)))</f>
        <v/>
      </c>
    </row>
    <row r="929">
      <c r="A929" s="51" t="n">
        <v>0.92</v>
      </c>
      <c r="B929" s="52">
        <f>$B$3*A929^2</f>
        <v/>
      </c>
      <c r="C929" s="52">
        <f>IF($B$4=3,IF(B929&lt;=0.5,1,(1-B929)/B929),IF($B$4=4,IF(B929&lt;=1/3,1,(-B929+SQRT(4*B929-3*B929^2))/(2*B929)),1))</f>
        <v/>
      </c>
      <c r="D929" s="51">
        <f>IF(A929&gt;$B$6+0.0000001,1E+30,$B$5*IF($B$4=3,1.5*(1-C929)^3,IF($B$4=4,2*(1-C929)^4+6*C929*(1-C929)^3,0)))</f>
        <v/>
      </c>
    </row>
    <row r="930">
      <c r="A930" s="51" t="n">
        <v>0.921</v>
      </c>
      <c r="B930" s="52">
        <f>$B$3*A930^2</f>
        <v/>
      </c>
      <c r="C930" s="52">
        <f>IF($B$4=3,IF(B930&lt;=0.5,1,(1-B930)/B930),IF($B$4=4,IF(B930&lt;=1/3,1,(-B930+SQRT(4*B930-3*B930^2))/(2*B930)),1))</f>
        <v/>
      </c>
      <c r="D930" s="51">
        <f>IF(A930&gt;$B$6+0.0000001,1E+30,$B$5*IF($B$4=3,1.5*(1-C930)^3,IF($B$4=4,2*(1-C930)^4+6*C930*(1-C930)^3,0)))</f>
        <v/>
      </c>
    </row>
    <row r="931">
      <c r="A931" s="51" t="n">
        <v>0.922</v>
      </c>
      <c r="B931" s="52">
        <f>$B$3*A931^2</f>
        <v/>
      </c>
      <c r="C931" s="52">
        <f>IF($B$4=3,IF(B931&lt;=0.5,1,(1-B931)/B931),IF($B$4=4,IF(B931&lt;=1/3,1,(-B931+SQRT(4*B931-3*B931^2))/(2*B931)),1))</f>
        <v/>
      </c>
      <c r="D931" s="51">
        <f>IF(A931&gt;$B$6+0.0000001,1E+30,$B$5*IF($B$4=3,1.5*(1-C931)^3,IF($B$4=4,2*(1-C931)^4+6*C931*(1-C931)^3,0)))</f>
        <v/>
      </c>
    </row>
    <row r="932">
      <c r="A932" s="51" t="n">
        <v>0.923</v>
      </c>
      <c r="B932" s="52">
        <f>$B$3*A932^2</f>
        <v/>
      </c>
      <c r="C932" s="52">
        <f>IF($B$4=3,IF(B932&lt;=0.5,1,(1-B932)/B932),IF($B$4=4,IF(B932&lt;=1/3,1,(-B932+SQRT(4*B932-3*B932^2))/(2*B932)),1))</f>
        <v/>
      </c>
      <c r="D932" s="51">
        <f>IF(A932&gt;$B$6+0.0000001,1E+30,$B$5*IF($B$4=3,1.5*(1-C932)^3,IF($B$4=4,2*(1-C932)^4+6*C932*(1-C932)^3,0)))</f>
        <v/>
      </c>
    </row>
    <row r="933">
      <c r="A933" s="51" t="n">
        <v>0.924</v>
      </c>
      <c r="B933" s="52">
        <f>$B$3*A933^2</f>
        <v/>
      </c>
      <c r="C933" s="52">
        <f>IF($B$4=3,IF(B933&lt;=0.5,1,(1-B933)/B933),IF($B$4=4,IF(B933&lt;=1/3,1,(-B933+SQRT(4*B933-3*B933^2))/(2*B933)),1))</f>
        <v/>
      </c>
      <c r="D933" s="51">
        <f>IF(A933&gt;$B$6+0.0000001,1E+30,$B$5*IF($B$4=3,1.5*(1-C933)^3,IF($B$4=4,2*(1-C933)^4+6*C933*(1-C933)^3,0)))</f>
        <v/>
      </c>
    </row>
    <row r="934">
      <c r="A934" s="51" t="n">
        <v>0.925</v>
      </c>
      <c r="B934" s="52">
        <f>$B$3*A934^2</f>
        <v/>
      </c>
      <c r="C934" s="52">
        <f>IF($B$4=3,IF(B934&lt;=0.5,1,(1-B934)/B934),IF($B$4=4,IF(B934&lt;=1/3,1,(-B934+SQRT(4*B934-3*B934^2))/(2*B934)),1))</f>
        <v/>
      </c>
      <c r="D934" s="51">
        <f>IF(A934&gt;$B$6+0.0000001,1E+30,$B$5*IF($B$4=3,1.5*(1-C934)^3,IF($B$4=4,2*(1-C934)^4+6*C934*(1-C934)^3,0)))</f>
        <v/>
      </c>
    </row>
    <row r="935">
      <c r="A935" s="51" t="n">
        <v>0.926</v>
      </c>
      <c r="B935" s="52">
        <f>$B$3*A935^2</f>
        <v/>
      </c>
      <c r="C935" s="52">
        <f>IF($B$4=3,IF(B935&lt;=0.5,1,(1-B935)/B935),IF($B$4=4,IF(B935&lt;=1/3,1,(-B935+SQRT(4*B935-3*B935^2))/(2*B935)),1))</f>
        <v/>
      </c>
      <c r="D935" s="51">
        <f>IF(A935&gt;$B$6+0.0000001,1E+30,$B$5*IF($B$4=3,1.5*(1-C935)^3,IF($B$4=4,2*(1-C935)^4+6*C935*(1-C935)^3,0)))</f>
        <v/>
      </c>
    </row>
    <row r="936">
      <c r="A936" s="51" t="n">
        <v>0.927</v>
      </c>
      <c r="B936" s="52">
        <f>$B$3*A936^2</f>
        <v/>
      </c>
      <c r="C936" s="52">
        <f>IF($B$4=3,IF(B936&lt;=0.5,1,(1-B936)/B936),IF($B$4=4,IF(B936&lt;=1/3,1,(-B936+SQRT(4*B936-3*B936^2))/(2*B936)),1))</f>
        <v/>
      </c>
      <c r="D936" s="51">
        <f>IF(A936&gt;$B$6+0.0000001,1E+30,$B$5*IF($B$4=3,1.5*(1-C936)^3,IF($B$4=4,2*(1-C936)^4+6*C936*(1-C936)^3,0)))</f>
        <v/>
      </c>
    </row>
    <row r="937">
      <c r="A937" s="51" t="n">
        <v>0.928</v>
      </c>
      <c r="B937" s="52">
        <f>$B$3*A937^2</f>
        <v/>
      </c>
      <c r="C937" s="52">
        <f>IF($B$4=3,IF(B937&lt;=0.5,1,(1-B937)/B937),IF($B$4=4,IF(B937&lt;=1/3,1,(-B937+SQRT(4*B937-3*B937^2))/(2*B937)),1))</f>
        <v/>
      </c>
      <c r="D937" s="51">
        <f>IF(A937&gt;$B$6+0.0000001,1E+30,$B$5*IF($B$4=3,1.5*(1-C937)^3,IF($B$4=4,2*(1-C937)^4+6*C937*(1-C937)^3,0)))</f>
        <v/>
      </c>
    </row>
    <row r="938">
      <c r="A938" s="51" t="n">
        <v>0.929</v>
      </c>
      <c r="B938" s="52">
        <f>$B$3*A938^2</f>
        <v/>
      </c>
      <c r="C938" s="52">
        <f>IF($B$4=3,IF(B938&lt;=0.5,1,(1-B938)/B938),IF($B$4=4,IF(B938&lt;=1/3,1,(-B938+SQRT(4*B938-3*B938^2))/(2*B938)),1))</f>
        <v/>
      </c>
      <c r="D938" s="51">
        <f>IF(A938&gt;$B$6+0.0000001,1E+30,$B$5*IF($B$4=3,1.5*(1-C938)^3,IF($B$4=4,2*(1-C938)^4+6*C938*(1-C938)^3,0)))</f>
        <v/>
      </c>
    </row>
    <row r="939">
      <c r="A939" s="51" t="n">
        <v>0.93</v>
      </c>
      <c r="B939" s="52">
        <f>$B$3*A939^2</f>
        <v/>
      </c>
      <c r="C939" s="52">
        <f>IF($B$4=3,IF(B939&lt;=0.5,1,(1-B939)/B939),IF($B$4=4,IF(B939&lt;=1/3,1,(-B939+SQRT(4*B939-3*B939^2))/(2*B939)),1))</f>
        <v/>
      </c>
      <c r="D939" s="51">
        <f>IF(A939&gt;$B$6+0.0000001,1E+30,$B$5*IF($B$4=3,1.5*(1-C939)^3,IF($B$4=4,2*(1-C939)^4+6*C939*(1-C939)^3,0)))</f>
        <v/>
      </c>
    </row>
    <row r="940">
      <c r="A940" s="51" t="n">
        <v>0.931</v>
      </c>
      <c r="B940" s="52">
        <f>$B$3*A940^2</f>
        <v/>
      </c>
      <c r="C940" s="52">
        <f>IF($B$4=3,IF(B940&lt;=0.5,1,(1-B940)/B940),IF($B$4=4,IF(B940&lt;=1/3,1,(-B940+SQRT(4*B940-3*B940^2))/(2*B940)),1))</f>
        <v/>
      </c>
      <c r="D940" s="51">
        <f>IF(A940&gt;$B$6+0.0000001,1E+30,$B$5*IF($B$4=3,1.5*(1-C940)^3,IF($B$4=4,2*(1-C940)^4+6*C940*(1-C940)^3,0)))</f>
        <v/>
      </c>
    </row>
    <row r="941">
      <c r="A941" s="51" t="n">
        <v>0.9320000000000001</v>
      </c>
      <c r="B941" s="52">
        <f>$B$3*A941^2</f>
        <v/>
      </c>
      <c r="C941" s="52">
        <f>IF($B$4=3,IF(B941&lt;=0.5,1,(1-B941)/B941),IF($B$4=4,IF(B941&lt;=1/3,1,(-B941+SQRT(4*B941-3*B941^2))/(2*B941)),1))</f>
        <v/>
      </c>
      <c r="D941" s="51">
        <f>IF(A941&gt;$B$6+0.0000001,1E+30,$B$5*IF($B$4=3,1.5*(1-C941)^3,IF($B$4=4,2*(1-C941)^4+6*C941*(1-C941)^3,0)))</f>
        <v/>
      </c>
    </row>
    <row r="942">
      <c r="A942" s="51" t="n">
        <v>0.9330000000000001</v>
      </c>
      <c r="B942" s="52">
        <f>$B$3*A942^2</f>
        <v/>
      </c>
      <c r="C942" s="52">
        <f>IF($B$4=3,IF(B942&lt;=0.5,1,(1-B942)/B942),IF($B$4=4,IF(B942&lt;=1/3,1,(-B942+SQRT(4*B942-3*B942^2))/(2*B942)),1))</f>
        <v/>
      </c>
      <c r="D942" s="51">
        <f>IF(A942&gt;$B$6+0.0000001,1E+30,$B$5*IF($B$4=3,1.5*(1-C942)^3,IF($B$4=4,2*(1-C942)^4+6*C942*(1-C942)^3,0)))</f>
        <v/>
      </c>
    </row>
    <row r="943">
      <c r="A943" s="51" t="n">
        <v>0.9340000000000001</v>
      </c>
      <c r="B943" s="52">
        <f>$B$3*A943^2</f>
        <v/>
      </c>
      <c r="C943" s="52">
        <f>IF($B$4=3,IF(B943&lt;=0.5,1,(1-B943)/B943),IF($B$4=4,IF(B943&lt;=1/3,1,(-B943+SQRT(4*B943-3*B943^2))/(2*B943)),1))</f>
        <v/>
      </c>
      <c r="D943" s="51">
        <f>IF(A943&gt;$B$6+0.0000001,1E+30,$B$5*IF($B$4=3,1.5*(1-C943)^3,IF($B$4=4,2*(1-C943)^4+6*C943*(1-C943)^3,0)))</f>
        <v/>
      </c>
    </row>
    <row r="944">
      <c r="A944" s="51" t="n">
        <v>0.9350000000000001</v>
      </c>
      <c r="B944" s="52">
        <f>$B$3*A944^2</f>
        <v/>
      </c>
      <c r="C944" s="52">
        <f>IF($B$4=3,IF(B944&lt;=0.5,1,(1-B944)/B944),IF($B$4=4,IF(B944&lt;=1/3,1,(-B944+SQRT(4*B944-3*B944^2))/(2*B944)),1))</f>
        <v/>
      </c>
      <c r="D944" s="51">
        <f>IF(A944&gt;$B$6+0.0000001,1E+30,$B$5*IF($B$4=3,1.5*(1-C944)^3,IF($B$4=4,2*(1-C944)^4+6*C944*(1-C944)^3,0)))</f>
        <v/>
      </c>
    </row>
    <row r="945">
      <c r="A945" s="51" t="n">
        <v>0.9360000000000001</v>
      </c>
      <c r="B945" s="52">
        <f>$B$3*A945^2</f>
        <v/>
      </c>
      <c r="C945" s="52">
        <f>IF($B$4=3,IF(B945&lt;=0.5,1,(1-B945)/B945),IF($B$4=4,IF(B945&lt;=1/3,1,(-B945+SQRT(4*B945-3*B945^2))/(2*B945)),1))</f>
        <v/>
      </c>
      <c r="D945" s="51">
        <f>IF(A945&gt;$B$6+0.0000001,1E+30,$B$5*IF($B$4=3,1.5*(1-C945)^3,IF($B$4=4,2*(1-C945)^4+6*C945*(1-C945)^3,0)))</f>
        <v/>
      </c>
    </row>
    <row r="946">
      <c r="A946" s="51" t="n">
        <v>0.9370000000000001</v>
      </c>
      <c r="B946" s="52">
        <f>$B$3*A946^2</f>
        <v/>
      </c>
      <c r="C946" s="52">
        <f>IF($B$4=3,IF(B946&lt;=0.5,1,(1-B946)/B946),IF($B$4=4,IF(B946&lt;=1/3,1,(-B946+SQRT(4*B946-3*B946^2))/(2*B946)),1))</f>
        <v/>
      </c>
      <c r="D946" s="51">
        <f>IF(A946&gt;$B$6+0.0000001,1E+30,$B$5*IF($B$4=3,1.5*(1-C946)^3,IF($B$4=4,2*(1-C946)^4+6*C946*(1-C946)^3,0)))</f>
        <v/>
      </c>
    </row>
    <row r="947">
      <c r="A947" s="51" t="n">
        <v>0.9379999999999999</v>
      </c>
      <c r="B947" s="52">
        <f>$B$3*A947^2</f>
        <v/>
      </c>
      <c r="C947" s="52">
        <f>IF($B$4=3,IF(B947&lt;=0.5,1,(1-B947)/B947),IF($B$4=4,IF(B947&lt;=1/3,1,(-B947+SQRT(4*B947-3*B947^2))/(2*B947)),1))</f>
        <v/>
      </c>
      <c r="D947" s="51">
        <f>IF(A947&gt;$B$6+0.0000001,1E+30,$B$5*IF($B$4=3,1.5*(1-C947)^3,IF($B$4=4,2*(1-C947)^4+6*C947*(1-C947)^3,0)))</f>
        <v/>
      </c>
    </row>
    <row r="948">
      <c r="A948" s="51" t="n">
        <v>0.9389999999999999</v>
      </c>
      <c r="B948" s="52">
        <f>$B$3*A948^2</f>
        <v/>
      </c>
      <c r="C948" s="52">
        <f>IF($B$4=3,IF(B948&lt;=0.5,1,(1-B948)/B948),IF($B$4=4,IF(B948&lt;=1/3,1,(-B948+SQRT(4*B948-3*B948^2))/(2*B948)),1))</f>
        <v/>
      </c>
      <c r="D948" s="51">
        <f>IF(A948&gt;$B$6+0.0000001,1E+30,$B$5*IF($B$4=3,1.5*(1-C948)^3,IF($B$4=4,2*(1-C948)^4+6*C948*(1-C948)^3,0)))</f>
        <v/>
      </c>
    </row>
    <row r="949">
      <c r="A949" s="51" t="n">
        <v>0.9399999999999999</v>
      </c>
      <c r="B949" s="52">
        <f>$B$3*A949^2</f>
        <v/>
      </c>
      <c r="C949" s="52">
        <f>IF($B$4=3,IF(B949&lt;=0.5,1,(1-B949)/B949),IF($B$4=4,IF(B949&lt;=1/3,1,(-B949+SQRT(4*B949-3*B949^2))/(2*B949)),1))</f>
        <v/>
      </c>
      <c r="D949" s="51">
        <f>IF(A949&gt;$B$6+0.0000001,1E+30,$B$5*IF($B$4=3,1.5*(1-C949)^3,IF($B$4=4,2*(1-C949)^4+6*C949*(1-C949)^3,0)))</f>
        <v/>
      </c>
    </row>
    <row r="950">
      <c r="A950" s="51" t="n">
        <v>0.9409999999999999</v>
      </c>
      <c r="B950" s="52">
        <f>$B$3*A950^2</f>
        <v/>
      </c>
      <c r="C950" s="52">
        <f>IF($B$4=3,IF(B950&lt;=0.5,1,(1-B950)/B950),IF($B$4=4,IF(B950&lt;=1/3,1,(-B950+SQRT(4*B950-3*B950^2))/(2*B950)),1))</f>
        <v/>
      </c>
      <c r="D950" s="51">
        <f>IF(A950&gt;$B$6+0.0000001,1E+30,$B$5*IF($B$4=3,1.5*(1-C950)^3,IF($B$4=4,2*(1-C950)^4+6*C950*(1-C950)^3,0)))</f>
        <v/>
      </c>
    </row>
    <row r="951">
      <c r="A951" s="51" t="n">
        <v>0.9419999999999999</v>
      </c>
      <c r="B951" s="52">
        <f>$B$3*A951^2</f>
        <v/>
      </c>
      <c r="C951" s="52">
        <f>IF($B$4=3,IF(B951&lt;=0.5,1,(1-B951)/B951),IF($B$4=4,IF(B951&lt;=1/3,1,(-B951+SQRT(4*B951-3*B951^2))/(2*B951)),1))</f>
        <v/>
      </c>
      <c r="D951" s="51">
        <f>IF(A951&gt;$B$6+0.0000001,1E+30,$B$5*IF($B$4=3,1.5*(1-C951)^3,IF($B$4=4,2*(1-C951)^4+6*C951*(1-C951)^3,0)))</f>
        <v/>
      </c>
    </row>
    <row r="952">
      <c r="A952" s="51" t="n">
        <v>0.9429999999999999</v>
      </c>
      <c r="B952" s="52">
        <f>$B$3*A952^2</f>
        <v/>
      </c>
      <c r="C952" s="52">
        <f>IF($B$4=3,IF(B952&lt;=0.5,1,(1-B952)/B952),IF($B$4=4,IF(B952&lt;=1/3,1,(-B952+SQRT(4*B952-3*B952^2))/(2*B952)),1))</f>
        <v/>
      </c>
      <c r="D952" s="51">
        <f>IF(A952&gt;$B$6+0.0000001,1E+30,$B$5*IF($B$4=3,1.5*(1-C952)^3,IF($B$4=4,2*(1-C952)^4+6*C952*(1-C952)^3,0)))</f>
        <v/>
      </c>
    </row>
    <row r="953">
      <c r="A953" s="51" t="n">
        <v>0.944</v>
      </c>
      <c r="B953" s="52">
        <f>$B$3*A953^2</f>
        <v/>
      </c>
      <c r="C953" s="52">
        <f>IF($B$4=3,IF(B953&lt;=0.5,1,(1-B953)/B953),IF($B$4=4,IF(B953&lt;=1/3,1,(-B953+SQRT(4*B953-3*B953^2))/(2*B953)),1))</f>
        <v/>
      </c>
      <c r="D953" s="51">
        <f>IF(A953&gt;$B$6+0.0000001,1E+30,$B$5*IF($B$4=3,1.5*(1-C953)^3,IF($B$4=4,2*(1-C953)^4+6*C953*(1-C953)^3,0)))</f>
        <v/>
      </c>
    </row>
    <row r="954">
      <c r="A954" s="51" t="n">
        <v>0.945</v>
      </c>
      <c r="B954" s="52">
        <f>$B$3*A954^2</f>
        <v/>
      </c>
      <c r="C954" s="52">
        <f>IF($B$4=3,IF(B954&lt;=0.5,1,(1-B954)/B954),IF($B$4=4,IF(B954&lt;=1/3,1,(-B954+SQRT(4*B954-3*B954^2))/(2*B954)),1))</f>
        <v/>
      </c>
      <c r="D954" s="51">
        <f>IF(A954&gt;$B$6+0.0000001,1E+30,$B$5*IF($B$4=3,1.5*(1-C954)^3,IF($B$4=4,2*(1-C954)^4+6*C954*(1-C954)^3,0)))</f>
        <v/>
      </c>
    </row>
    <row r="955">
      <c r="A955" s="51" t="n">
        <v>0.946</v>
      </c>
      <c r="B955" s="52">
        <f>$B$3*A955^2</f>
        <v/>
      </c>
      <c r="C955" s="52">
        <f>IF($B$4=3,IF(B955&lt;=0.5,1,(1-B955)/B955),IF($B$4=4,IF(B955&lt;=1/3,1,(-B955+SQRT(4*B955-3*B955^2))/(2*B955)),1))</f>
        <v/>
      </c>
      <c r="D955" s="51">
        <f>IF(A955&gt;$B$6+0.0000001,1E+30,$B$5*IF($B$4=3,1.5*(1-C955)^3,IF($B$4=4,2*(1-C955)^4+6*C955*(1-C955)^3,0)))</f>
        <v/>
      </c>
    </row>
    <row r="956">
      <c r="A956" s="51" t="n">
        <v>0.947</v>
      </c>
      <c r="B956" s="52">
        <f>$B$3*A956^2</f>
        <v/>
      </c>
      <c r="C956" s="52">
        <f>IF($B$4=3,IF(B956&lt;=0.5,1,(1-B956)/B956),IF($B$4=4,IF(B956&lt;=1/3,1,(-B956+SQRT(4*B956-3*B956^2))/(2*B956)),1))</f>
        <v/>
      </c>
      <c r="D956" s="51">
        <f>IF(A956&gt;$B$6+0.0000001,1E+30,$B$5*IF($B$4=3,1.5*(1-C956)^3,IF($B$4=4,2*(1-C956)^4+6*C956*(1-C956)^3,0)))</f>
        <v/>
      </c>
    </row>
    <row r="957">
      <c r="A957" s="51" t="n">
        <v>0.948</v>
      </c>
      <c r="B957" s="52">
        <f>$B$3*A957^2</f>
        <v/>
      </c>
      <c r="C957" s="52">
        <f>IF($B$4=3,IF(B957&lt;=0.5,1,(1-B957)/B957),IF($B$4=4,IF(B957&lt;=1/3,1,(-B957+SQRT(4*B957-3*B957^2))/(2*B957)),1))</f>
        <v/>
      </c>
      <c r="D957" s="51">
        <f>IF(A957&gt;$B$6+0.0000001,1E+30,$B$5*IF($B$4=3,1.5*(1-C957)^3,IF($B$4=4,2*(1-C957)^4+6*C957*(1-C957)^3,0)))</f>
        <v/>
      </c>
    </row>
    <row r="958">
      <c r="A958" s="51" t="n">
        <v>0.949</v>
      </c>
      <c r="B958" s="52">
        <f>$B$3*A958^2</f>
        <v/>
      </c>
      <c r="C958" s="52">
        <f>IF($B$4=3,IF(B958&lt;=0.5,1,(1-B958)/B958),IF($B$4=4,IF(B958&lt;=1/3,1,(-B958+SQRT(4*B958-3*B958^2))/(2*B958)),1))</f>
        <v/>
      </c>
      <c r="D958" s="51">
        <f>IF(A958&gt;$B$6+0.0000001,1E+30,$B$5*IF($B$4=3,1.5*(1-C958)^3,IF($B$4=4,2*(1-C958)^4+6*C958*(1-C958)^3,0)))</f>
        <v/>
      </c>
    </row>
    <row r="959">
      <c r="A959" s="51" t="n">
        <v>0.95</v>
      </c>
      <c r="B959" s="52">
        <f>$B$3*A959^2</f>
        <v/>
      </c>
      <c r="C959" s="52">
        <f>IF($B$4=3,IF(B959&lt;=0.5,1,(1-B959)/B959),IF($B$4=4,IF(B959&lt;=1/3,1,(-B959+SQRT(4*B959-3*B959^2))/(2*B959)),1))</f>
        <v/>
      </c>
      <c r="D959" s="51">
        <f>IF(A959&gt;$B$6+0.0000001,1E+30,$B$5*IF($B$4=3,1.5*(1-C959)^3,IF($B$4=4,2*(1-C959)^4+6*C959*(1-C959)^3,0)))</f>
        <v/>
      </c>
    </row>
    <row r="960">
      <c r="A960" s="51" t="n">
        <v>0.951</v>
      </c>
      <c r="B960" s="52">
        <f>$B$3*A960^2</f>
        <v/>
      </c>
      <c r="C960" s="52">
        <f>IF($B$4=3,IF(B960&lt;=0.5,1,(1-B960)/B960),IF($B$4=4,IF(B960&lt;=1/3,1,(-B960+SQRT(4*B960-3*B960^2))/(2*B960)),1))</f>
        <v/>
      </c>
      <c r="D960" s="51">
        <f>IF(A960&gt;$B$6+0.0000001,1E+30,$B$5*IF($B$4=3,1.5*(1-C960)^3,IF($B$4=4,2*(1-C960)^4+6*C960*(1-C960)^3,0)))</f>
        <v/>
      </c>
    </row>
    <row r="961">
      <c r="A961" s="51" t="n">
        <v>0.952</v>
      </c>
      <c r="B961" s="52">
        <f>$B$3*A961^2</f>
        <v/>
      </c>
      <c r="C961" s="52">
        <f>IF($B$4=3,IF(B961&lt;=0.5,1,(1-B961)/B961),IF($B$4=4,IF(B961&lt;=1/3,1,(-B961+SQRT(4*B961-3*B961^2))/(2*B961)),1))</f>
        <v/>
      </c>
      <c r="D961" s="51">
        <f>IF(A961&gt;$B$6+0.0000001,1E+30,$B$5*IF($B$4=3,1.5*(1-C961)^3,IF($B$4=4,2*(1-C961)^4+6*C961*(1-C961)^3,0)))</f>
        <v/>
      </c>
    </row>
    <row r="962">
      <c r="A962" s="51" t="n">
        <v>0.953</v>
      </c>
      <c r="B962" s="52">
        <f>$B$3*A962^2</f>
        <v/>
      </c>
      <c r="C962" s="52">
        <f>IF($B$4=3,IF(B962&lt;=0.5,1,(1-B962)/B962),IF($B$4=4,IF(B962&lt;=1/3,1,(-B962+SQRT(4*B962-3*B962^2))/(2*B962)),1))</f>
        <v/>
      </c>
      <c r="D962" s="51">
        <f>IF(A962&gt;$B$6+0.0000001,1E+30,$B$5*IF($B$4=3,1.5*(1-C962)^3,IF($B$4=4,2*(1-C962)^4+6*C962*(1-C962)^3,0)))</f>
        <v/>
      </c>
    </row>
    <row r="963">
      <c r="A963" s="51" t="n">
        <v>0.954</v>
      </c>
      <c r="B963" s="52">
        <f>$B$3*A963^2</f>
        <v/>
      </c>
      <c r="C963" s="52">
        <f>IF($B$4=3,IF(B963&lt;=0.5,1,(1-B963)/B963),IF($B$4=4,IF(B963&lt;=1/3,1,(-B963+SQRT(4*B963-3*B963^2))/(2*B963)),1))</f>
        <v/>
      </c>
      <c r="D963" s="51">
        <f>IF(A963&gt;$B$6+0.0000001,1E+30,$B$5*IF($B$4=3,1.5*(1-C963)^3,IF($B$4=4,2*(1-C963)^4+6*C963*(1-C963)^3,0)))</f>
        <v/>
      </c>
    </row>
    <row r="964">
      <c r="A964" s="51" t="n">
        <v>0.955</v>
      </c>
      <c r="B964" s="52">
        <f>$B$3*A964^2</f>
        <v/>
      </c>
      <c r="C964" s="52">
        <f>IF($B$4=3,IF(B964&lt;=0.5,1,(1-B964)/B964),IF($B$4=4,IF(B964&lt;=1/3,1,(-B964+SQRT(4*B964-3*B964^2))/(2*B964)),1))</f>
        <v/>
      </c>
      <c r="D964" s="51">
        <f>IF(A964&gt;$B$6+0.0000001,1E+30,$B$5*IF($B$4=3,1.5*(1-C964)^3,IF($B$4=4,2*(1-C964)^4+6*C964*(1-C964)^3,0)))</f>
        <v/>
      </c>
    </row>
    <row r="965">
      <c r="A965" s="51" t="n">
        <v>0.956</v>
      </c>
      <c r="B965" s="52">
        <f>$B$3*A965^2</f>
        <v/>
      </c>
      <c r="C965" s="52">
        <f>IF($B$4=3,IF(B965&lt;=0.5,1,(1-B965)/B965),IF($B$4=4,IF(B965&lt;=1/3,1,(-B965+SQRT(4*B965-3*B965^2))/(2*B965)),1))</f>
        <v/>
      </c>
      <c r="D965" s="51">
        <f>IF(A965&gt;$B$6+0.0000001,1E+30,$B$5*IF($B$4=3,1.5*(1-C965)^3,IF($B$4=4,2*(1-C965)^4+6*C965*(1-C965)^3,0)))</f>
        <v/>
      </c>
    </row>
    <row r="966">
      <c r="A966" s="51" t="n">
        <v>0.957</v>
      </c>
      <c r="B966" s="52">
        <f>$B$3*A966^2</f>
        <v/>
      </c>
      <c r="C966" s="52">
        <f>IF($B$4=3,IF(B966&lt;=0.5,1,(1-B966)/B966),IF($B$4=4,IF(B966&lt;=1/3,1,(-B966+SQRT(4*B966-3*B966^2))/(2*B966)),1))</f>
        <v/>
      </c>
      <c r="D966" s="51">
        <f>IF(A966&gt;$B$6+0.0000001,1E+30,$B$5*IF($B$4=3,1.5*(1-C966)^3,IF($B$4=4,2*(1-C966)^4+6*C966*(1-C966)^3,0)))</f>
        <v/>
      </c>
    </row>
    <row r="967">
      <c r="A967" s="51" t="n">
        <v>0.958</v>
      </c>
      <c r="B967" s="52">
        <f>$B$3*A967^2</f>
        <v/>
      </c>
      <c r="C967" s="52">
        <f>IF($B$4=3,IF(B967&lt;=0.5,1,(1-B967)/B967),IF($B$4=4,IF(B967&lt;=1/3,1,(-B967+SQRT(4*B967-3*B967^2))/(2*B967)),1))</f>
        <v/>
      </c>
      <c r="D967" s="51">
        <f>IF(A967&gt;$B$6+0.0000001,1E+30,$B$5*IF($B$4=3,1.5*(1-C967)^3,IF($B$4=4,2*(1-C967)^4+6*C967*(1-C967)^3,0)))</f>
        <v/>
      </c>
    </row>
    <row r="968">
      <c r="A968" s="51" t="n">
        <v>0.959</v>
      </c>
      <c r="B968" s="52">
        <f>$B$3*A968^2</f>
        <v/>
      </c>
      <c r="C968" s="52">
        <f>IF($B$4=3,IF(B968&lt;=0.5,1,(1-B968)/B968),IF($B$4=4,IF(B968&lt;=1/3,1,(-B968+SQRT(4*B968-3*B968^2))/(2*B968)),1))</f>
        <v/>
      </c>
      <c r="D968" s="51">
        <f>IF(A968&gt;$B$6+0.0000001,1E+30,$B$5*IF($B$4=3,1.5*(1-C968)^3,IF($B$4=4,2*(1-C968)^4+6*C968*(1-C968)^3,0)))</f>
        <v/>
      </c>
    </row>
    <row r="969">
      <c r="A969" s="51" t="n">
        <v>0.96</v>
      </c>
      <c r="B969" s="52">
        <f>$B$3*A969^2</f>
        <v/>
      </c>
      <c r="C969" s="52">
        <f>IF($B$4=3,IF(B969&lt;=0.5,1,(1-B969)/B969),IF($B$4=4,IF(B969&lt;=1/3,1,(-B969+SQRT(4*B969-3*B969^2))/(2*B969)),1))</f>
        <v/>
      </c>
      <c r="D969" s="51">
        <f>IF(A969&gt;$B$6+0.0000001,1E+30,$B$5*IF($B$4=3,1.5*(1-C969)^3,IF($B$4=4,2*(1-C969)^4+6*C969*(1-C969)^3,0)))</f>
        <v/>
      </c>
    </row>
    <row r="970">
      <c r="A970" s="51" t="n">
        <v>0.961</v>
      </c>
      <c r="B970" s="52">
        <f>$B$3*A970^2</f>
        <v/>
      </c>
      <c r="C970" s="52">
        <f>IF($B$4=3,IF(B970&lt;=0.5,1,(1-B970)/B970),IF($B$4=4,IF(B970&lt;=1/3,1,(-B970+SQRT(4*B970-3*B970^2))/(2*B970)),1))</f>
        <v/>
      </c>
      <c r="D970" s="51">
        <f>IF(A970&gt;$B$6+0.0000001,1E+30,$B$5*IF($B$4=3,1.5*(1-C970)^3,IF($B$4=4,2*(1-C970)^4+6*C970*(1-C970)^3,0)))</f>
        <v/>
      </c>
    </row>
    <row r="971">
      <c r="A971" s="51" t="n">
        <v>0.962</v>
      </c>
      <c r="B971" s="52">
        <f>$B$3*A971^2</f>
        <v/>
      </c>
      <c r="C971" s="52">
        <f>IF($B$4=3,IF(B971&lt;=0.5,1,(1-B971)/B971),IF($B$4=4,IF(B971&lt;=1/3,1,(-B971+SQRT(4*B971-3*B971^2))/(2*B971)),1))</f>
        <v/>
      </c>
      <c r="D971" s="51">
        <f>IF(A971&gt;$B$6+0.0000001,1E+30,$B$5*IF($B$4=3,1.5*(1-C971)^3,IF($B$4=4,2*(1-C971)^4+6*C971*(1-C971)^3,0)))</f>
        <v/>
      </c>
    </row>
    <row r="972">
      <c r="A972" s="51" t="n">
        <v>0.963</v>
      </c>
      <c r="B972" s="52">
        <f>$B$3*A972^2</f>
        <v/>
      </c>
      <c r="C972" s="52">
        <f>IF($B$4=3,IF(B972&lt;=0.5,1,(1-B972)/B972),IF($B$4=4,IF(B972&lt;=1/3,1,(-B972+SQRT(4*B972-3*B972^2))/(2*B972)),1))</f>
        <v/>
      </c>
      <c r="D972" s="51">
        <f>IF(A972&gt;$B$6+0.0000001,1E+30,$B$5*IF($B$4=3,1.5*(1-C972)^3,IF($B$4=4,2*(1-C972)^4+6*C972*(1-C972)^3,0)))</f>
        <v/>
      </c>
    </row>
    <row r="973">
      <c r="A973" s="51" t="n">
        <v>0.964</v>
      </c>
      <c r="B973" s="52">
        <f>$B$3*A973^2</f>
        <v/>
      </c>
      <c r="C973" s="52">
        <f>IF($B$4=3,IF(B973&lt;=0.5,1,(1-B973)/B973),IF($B$4=4,IF(B973&lt;=1/3,1,(-B973+SQRT(4*B973-3*B973^2))/(2*B973)),1))</f>
        <v/>
      </c>
      <c r="D973" s="51">
        <f>IF(A973&gt;$B$6+0.0000001,1E+30,$B$5*IF($B$4=3,1.5*(1-C973)^3,IF($B$4=4,2*(1-C973)^4+6*C973*(1-C973)^3,0)))</f>
        <v/>
      </c>
    </row>
    <row r="974">
      <c r="A974" s="51" t="n">
        <v>0.965</v>
      </c>
      <c r="B974" s="52">
        <f>$B$3*A974^2</f>
        <v/>
      </c>
      <c r="C974" s="52">
        <f>IF($B$4=3,IF(B974&lt;=0.5,1,(1-B974)/B974),IF($B$4=4,IF(B974&lt;=1/3,1,(-B974+SQRT(4*B974-3*B974^2))/(2*B974)),1))</f>
        <v/>
      </c>
      <c r="D974" s="51">
        <f>IF(A974&gt;$B$6+0.0000001,1E+30,$B$5*IF($B$4=3,1.5*(1-C974)^3,IF($B$4=4,2*(1-C974)^4+6*C974*(1-C974)^3,0)))</f>
        <v/>
      </c>
    </row>
    <row r="975">
      <c r="A975" s="51" t="n">
        <v>0.966</v>
      </c>
      <c r="B975" s="52">
        <f>$B$3*A975^2</f>
        <v/>
      </c>
      <c r="C975" s="52">
        <f>IF($B$4=3,IF(B975&lt;=0.5,1,(1-B975)/B975),IF($B$4=4,IF(B975&lt;=1/3,1,(-B975+SQRT(4*B975-3*B975^2))/(2*B975)),1))</f>
        <v/>
      </c>
      <c r="D975" s="51">
        <f>IF(A975&gt;$B$6+0.0000001,1E+30,$B$5*IF($B$4=3,1.5*(1-C975)^3,IF($B$4=4,2*(1-C975)^4+6*C975*(1-C975)^3,0)))</f>
        <v/>
      </c>
    </row>
    <row r="976">
      <c r="A976" s="51" t="n">
        <v>0.967</v>
      </c>
      <c r="B976" s="52">
        <f>$B$3*A976^2</f>
        <v/>
      </c>
      <c r="C976" s="52">
        <f>IF($B$4=3,IF(B976&lt;=0.5,1,(1-B976)/B976),IF($B$4=4,IF(B976&lt;=1/3,1,(-B976+SQRT(4*B976-3*B976^2))/(2*B976)),1))</f>
        <v/>
      </c>
      <c r="D976" s="51">
        <f>IF(A976&gt;$B$6+0.0000001,1E+30,$B$5*IF($B$4=3,1.5*(1-C976)^3,IF($B$4=4,2*(1-C976)^4+6*C976*(1-C976)^3,0)))</f>
        <v/>
      </c>
    </row>
    <row r="977">
      <c r="A977" s="51" t="n">
        <v>0.968</v>
      </c>
      <c r="B977" s="52">
        <f>$B$3*A977^2</f>
        <v/>
      </c>
      <c r="C977" s="52">
        <f>IF($B$4=3,IF(B977&lt;=0.5,1,(1-B977)/B977),IF($B$4=4,IF(B977&lt;=1/3,1,(-B977+SQRT(4*B977-3*B977^2))/(2*B977)),1))</f>
        <v/>
      </c>
      <c r="D977" s="51">
        <f>IF(A977&gt;$B$6+0.0000001,1E+30,$B$5*IF($B$4=3,1.5*(1-C977)^3,IF($B$4=4,2*(1-C977)^4+6*C977*(1-C977)^3,0)))</f>
        <v/>
      </c>
    </row>
    <row r="978">
      <c r="A978" s="51" t="n">
        <v>0.969</v>
      </c>
      <c r="B978" s="52">
        <f>$B$3*A978^2</f>
        <v/>
      </c>
      <c r="C978" s="52">
        <f>IF($B$4=3,IF(B978&lt;=0.5,1,(1-B978)/B978),IF($B$4=4,IF(B978&lt;=1/3,1,(-B978+SQRT(4*B978-3*B978^2))/(2*B978)),1))</f>
        <v/>
      </c>
      <c r="D978" s="51">
        <f>IF(A978&gt;$B$6+0.0000001,1E+30,$B$5*IF($B$4=3,1.5*(1-C978)^3,IF($B$4=4,2*(1-C978)^4+6*C978*(1-C978)^3,0)))</f>
        <v/>
      </c>
    </row>
    <row r="979">
      <c r="A979" s="51" t="n">
        <v>0.97</v>
      </c>
      <c r="B979" s="52">
        <f>$B$3*A979^2</f>
        <v/>
      </c>
      <c r="C979" s="52">
        <f>IF($B$4=3,IF(B979&lt;=0.5,1,(1-B979)/B979),IF($B$4=4,IF(B979&lt;=1/3,1,(-B979+SQRT(4*B979-3*B979^2))/(2*B979)),1))</f>
        <v/>
      </c>
      <c r="D979" s="51">
        <f>IF(A979&gt;$B$6+0.0000001,1E+30,$B$5*IF($B$4=3,1.5*(1-C979)^3,IF($B$4=4,2*(1-C979)^4+6*C979*(1-C979)^3,0)))</f>
        <v/>
      </c>
    </row>
    <row r="980">
      <c r="A980" s="51" t="n">
        <v>0.971</v>
      </c>
      <c r="B980" s="52">
        <f>$B$3*A980^2</f>
        <v/>
      </c>
      <c r="C980" s="52">
        <f>IF($B$4=3,IF(B980&lt;=0.5,1,(1-B980)/B980),IF($B$4=4,IF(B980&lt;=1/3,1,(-B980+SQRT(4*B980-3*B980^2))/(2*B980)),1))</f>
        <v/>
      </c>
      <c r="D980" s="51">
        <f>IF(A980&gt;$B$6+0.0000001,1E+30,$B$5*IF($B$4=3,1.5*(1-C980)^3,IF($B$4=4,2*(1-C980)^4+6*C980*(1-C980)^3,0)))</f>
        <v/>
      </c>
    </row>
    <row r="981">
      <c r="A981" s="51" t="n">
        <v>0.972</v>
      </c>
      <c r="B981" s="52">
        <f>$B$3*A981^2</f>
        <v/>
      </c>
      <c r="C981" s="52">
        <f>IF($B$4=3,IF(B981&lt;=0.5,1,(1-B981)/B981),IF($B$4=4,IF(B981&lt;=1/3,1,(-B981+SQRT(4*B981-3*B981^2))/(2*B981)),1))</f>
        <v/>
      </c>
      <c r="D981" s="51">
        <f>IF(A981&gt;$B$6+0.0000001,1E+30,$B$5*IF($B$4=3,1.5*(1-C981)^3,IF($B$4=4,2*(1-C981)^4+6*C981*(1-C981)^3,0)))</f>
        <v/>
      </c>
    </row>
    <row r="982">
      <c r="A982" s="51" t="n">
        <v>0.973</v>
      </c>
      <c r="B982" s="52">
        <f>$B$3*A982^2</f>
        <v/>
      </c>
      <c r="C982" s="52">
        <f>IF($B$4=3,IF(B982&lt;=0.5,1,(1-B982)/B982),IF($B$4=4,IF(B982&lt;=1/3,1,(-B982+SQRT(4*B982-3*B982^2))/(2*B982)),1))</f>
        <v/>
      </c>
      <c r="D982" s="51">
        <f>IF(A982&gt;$B$6+0.0000001,1E+30,$B$5*IF($B$4=3,1.5*(1-C982)^3,IF($B$4=4,2*(1-C982)^4+6*C982*(1-C982)^3,0)))</f>
        <v/>
      </c>
    </row>
    <row r="983">
      <c r="A983" s="51" t="n">
        <v>0.974</v>
      </c>
      <c r="B983" s="52">
        <f>$B$3*A983^2</f>
        <v/>
      </c>
      <c r="C983" s="52">
        <f>IF($B$4=3,IF(B983&lt;=0.5,1,(1-B983)/B983),IF($B$4=4,IF(B983&lt;=1/3,1,(-B983+SQRT(4*B983-3*B983^2))/(2*B983)),1))</f>
        <v/>
      </c>
      <c r="D983" s="51">
        <f>IF(A983&gt;$B$6+0.0000001,1E+30,$B$5*IF($B$4=3,1.5*(1-C983)^3,IF($B$4=4,2*(1-C983)^4+6*C983*(1-C983)^3,0)))</f>
        <v/>
      </c>
    </row>
    <row r="984">
      <c r="A984" s="51" t="n">
        <v>0.975</v>
      </c>
      <c r="B984" s="52">
        <f>$B$3*A984^2</f>
        <v/>
      </c>
      <c r="C984" s="52">
        <f>IF($B$4=3,IF(B984&lt;=0.5,1,(1-B984)/B984),IF($B$4=4,IF(B984&lt;=1/3,1,(-B984+SQRT(4*B984-3*B984^2))/(2*B984)),1))</f>
        <v/>
      </c>
      <c r="D984" s="51">
        <f>IF(A984&gt;$B$6+0.0000001,1E+30,$B$5*IF($B$4=3,1.5*(1-C984)^3,IF($B$4=4,2*(1-C984)^4+6*C984*(1-C984)^3,0)))</f>
        <v/>
      </c>
    </row>
    <row r="985">
      <c r="A985" s="51" t="n">
        <v>0.976</v>
      </c>
      <c r="B985" s="52">
        <f>$B$3*A985^2</f>
        <v/>
      </c>
      <c r="C985" s="52">
        <f>IF($B$4=3,IF(B985&lt;=0.5,1,(1-B985)/B985),IF($B$4=4,IF(B985&lt;=1/3,1,(-B985+SQRT(4*B985-3*B985^2))/(2*B985)),1))</f>
        <v/>
      </c>
      <c r="D985" s="51">
        <f>IF(A985&gt;$B$6+0.0000001,1E+30,$B$5*IF($B$4=3,1.5*(1-C985)^3,IF($B$4=4,2*(1-C985)^4+6*C985*(1-C985)^3,0)))</f>
        <v/>
      </c>
    </row>
    <row r="986">
      <c r="A986" s="51" t="n">
        <v>0.977</v>
      </c>
      <c r="B986" s="52">
        <f>$B$3*A986^2</f>
        <v/>
      </c>
      <c r="C986" s="52">
        <f>IF($B$4=3,IF(B986&lt;=0.5,1,(1-B986)/B986),IF($B$4=4,IF(B986&lt;=1/3,1,(-B986+SQRT(4*B986-3*B986^2))/(2*B986)),1))</f>
        <v/>
      </c>
      <c r="D986" s="51">
        <f>IF(A986&gt;$B$6+0.0000001,1E+30,$B$5*IF($B$4=3,1.5*(1-C986)^3,IF($B$4=4,2*(1-C986)^4+6*C986*(1-C986)^3,0)))</f>
        <v/>
      </c>
    </row>
    <row r="987">
      <c r="A987" s="51" t="n">
        <v>0.978</v>
      </c>
      <c r="B987" s="52">
        <f>$B$3*A987^2</f>
        <v/>
      </c>
      <c r="C987" s="52">
        <f>IF($B$4=3,IF(B987&lt;=0.5,1,(1-B987)/B987),IF($B$4=4,IF(B987&lt;=1/3,1,(-B987+SQRT(4*B987-3*B987^2))/(2*B987)),1))</f>
        <v/>
      </c>
      <c r="D987" s="51">
        <f>IF(A987&gt;$B$6+0.0000001,1E+30,$B$5*IF($B$4=3,1.5*(1-C987)^3,IF($B$4=4,2*(1-C987)^4+6*C987*(1-C987)^3,0)))</f>
        <v/>
      </c>
    </row>
    <row r="988">
      <c r="A988" s="51" t="n">
        <v>0.979</v>
      </c>
      <c r="B988" s="52">
        <f>$B$3*A988^2</f>
        <v/>
      </c>
      <c r="C988" s="52">
        <f>IF($B$4=3,IF(B988&lt;=0.5,1,(1-B988)/B988),IF($B$4=4,IF(B988&lt;=1/3,1,(-B988+SQRT(4*B988-3*B988^2))/(2*B988)),1))</f>
        <v/>
      </c>
      <c r="D988" s="51">
        <f>IF(A988&gt;$B$6+0.0000001,1E+30,$B$5*IF($B$4=3,1.5*(1-C988)^3,IF($B$4=4,2*(1-C988)^4+6*C988*(1-C988)^3,0)))</f>
        <v/>
      </c>
    </row>
    <row r="989">
      <c r="A989" s="51" t="n">
        <v>0.98</v>
      </c>
      <c r="B989" s="52">
        <f>$B$3*A989^2</f>
        <v/>
      </c>
      <c r="C989" s="52">
        <f>IF($B$4=3,IF(B989&lt;=0.5,1,(1-B989)/B989),IF($B$4=4,IF(B989&lt;=1/3,1,(-B989+SQRT(4*B989-3*B989^2))/(2*B989)),1))</f>
        <v/>
      </c>
      <c r="D989" s="51">
        <f>IF(A989&gt;$B$6+0.0000001,1E+30,$B$5*IF($B$4=3,1.5*(1-C989)^3,IF($B$4=4,2*(1-C989)^4+6*C989*(1-C989)^3,0)))</f>
        <v/>
      </c>
    </row>
    <row r="990">
      <c r="A990" s="51" t="n">
        <v>0.981</v>
      </c>
      <c r="B990" s="52">
        <f>$B$3*A990^2</f>
        <v/>
      </c>
      <c r="C990" s="52">
        <f>IF($B$4=3,IF(B990&lt;=0.5,1,(1-B990)/B990),IF($B$4=4,IF(B990&lt;=1/3,1,(-B990+SQRT(4*B990-3*B990^2))/(2*B990)),1))</f>
        <v/>
      </c>
      <c r="D990" s="51">
        <f>IF(A990&gt;$B$6+0.0000001,1E+30,$B$5*IF($B$4=3,1.5*(1-C990)^3,IF($B$4=4,2*(1-C990)^4+6*C990*(1-C990)^3,0)))</f>
        <v/>
      </c>
    </row>
    <row r="991">
      <c r="A991" s="51" t="n">
        <v>0.982</v>
      </c>
      <c r="B991" s="52">
        <f>$B$3*A991^2</f>
        <v/>
      </c>
      <c r="C991" s="52">
        <f>IF($B$4=3,IF(B991&lt;=0.5,1,(1-B991)/B991),IF($B$4=4,IF(B991&lt;=1/3,1,(-B991+SQRT(4*B991-3*B991^2))/(2*B991)),1))</f>
        <v/>
      </c>
      <c r="D991" s="51">
        <f>IF(A991&gt;$B$6+0.0000001,1E+30,$B$5*IF($B$4=3,1.5*(1-C991)^3,IF($B$4=4,2*(1-C991)^4+6*C991*(1-C991)^3,0)))</f>
        <v/>
      </c>
    </row>
    <row r="992">
      <c r="A992" s="51" t="n">
        <v>0.983</v>
      </c>
      <c r="B992" s="52">
        <f>$B$3*A992^2</f>
        <v/>
      </c>
      <c r="C992" s="52">
        <f>IF($B$4=3,IF(B992&lt;=0.5,1,(1-B992)/B992),IF($B$4=4,IF(B992&lt;=1/3,1,(-B992+SQRT(4*B992-3*B992^2))/(2*B992)),1))</f>
        <v/>
      </c>
      <c r="D992" s="51">
        <f>IF(A992&gt;$B$6+0.0000001,1E+30,$B$5*IF($B$4=3,1.5*(1-C992)^3,IF($B$4=4,2*(1-C992)^4+6*C992*(1-C992)^3,0)))</f>
        <v/>
      </c>
    </row>
    <row r="993">
      <c r="A993" s="51" t="n">
        <v>0.984</v>
      </c>
      <c r="B993" s="52">
        <f>$B$3*A993^2</f>
        <v/>
      </c>
      <c r="C993" s="52">
        <f>IF($B$4=3,IF(B993&lt;=0.5,1,(1-B993)/B993),IF($B$4=4,IF(B993&lt;=1/3,1,(-B993+SQRT(4*B993-3*B993^2))/(2*B993)),1))</f>
        <v/>
      </c>
      <c r="D993" s="51">
        <f>IF(A993&gt;$B$6+0.0000001,1E+30,$B$5*IF($B$4=3,1.5*(1-C993)^3,IF($B$4=4,2*(1-C993)^4+6*C993*(1-C993)^3,0)))</f>
        <v/>
      </c>
    </row>
    <row r="994">
      <c r="A994" s="51" t="n">
        <v>0.985</v>
      </c>
      <c r="B994" s="52">
        <f>$B$3*A994^2</f>
        <v/>
      </c>
      <c r="C994" s="52">
        <f>IF($B$4=3,IF(B994&lt;=0.5,1,(1-B994)/B994),IF($B$4=4,IF(B994&lt;=1/3,1,(-B994+SQRT(4*B994-3*B994^2))/(2*B994)),1))</f>
        <v/>
      </c>
      <c r="D994" s="51">
        <f>IF(A994&gt;$B$6+0.0000001,1E+30,$B$5*IF($B$4=3,1.5*(1-C994)^3,IF($B$4=4,2*(1-C994)^4+6*C994*(1-C994)^3,0)))</f>
        <v/>
      </c>
    </row>
    <row r="995">
      <c r="A995" s="51" t="n">
        <v>0.986</v>
      </c>
      <c r="B995" s="52">
        <f>$B$3*A995^2</f>
        <v/>
      </c>
      <c r="C995" s="52">
        <f>IF($B$4=3,IF(B995&lt;=0.5,1,(1-B995)/B995),IF($B$4=4,IF(B995&lt;=1/3,1,(-B995+SQRT(4*B995-3*B995^2))/(2*B995)),1))</f>
        <v/>
      </c>
      <c r="D995" s="51">
        <f>IF(A995&gt;$B$6+0.0000001,1E+30,$B$5*IF($B$4=3,1.5*(1-C995)^3,IF($B$4=4,2*(1-C995)^4+6*C995*(1-C995)^3,0)))</f>
        <v/>
      </c>
    </row>
    <row r="996">
      <c r="A996" s="51" t="n">
        <v>0.987</v>
      </c>
      <c r="B996" s="52">
        <f>$B$3*A996^2</f>
        <v/>
      </c>
      <c r="C996" s="52">
        <f>IF($B$4=3,IF(B996&lt;=0.5,1,(1-B996)/B996),IF($B$4=4,IF(B996&lt;=1/3,1,(-B996+SQRT(4*B996-3*B996^2))/(2*B996)),1))</f>
        <v/>
      </c>
      <c r="D996" s="51">
        <f>IF(A996&gt;$B$6+0.0000001,1E+30,$B$5*IF($B$4=3,1.5*(1-C996)^3,IF($B$4=4,2*(1-C996)^4+6*C996*(1-C996)^3,0)))</f>
        <v/>
      </c>
    </row>
    <row r="997">
      <c r="A997" s="51" t="n">
        <v>0.988</v>
      </c>
      <c r="B997" s="52">
        <f>$B$3*A997^2</f>
        <v/>
      </c>
      <c r="C997" s="52">
        <f>IF($B$4=3,IF(B997&lt;=0.5,1,(1-B997)/B997),IF($B$4=4,IF(B997&lt;=1/3,1,(-B997+SQRT(4*B997-3*B997^2))/(2*B997)),1))</f>
        <v/>
      </c>
      <c r="D997" s="51">
        <f>IF(A997&gt;$B$6+0.0000001,1E+30,$B$5*IF($B$4=3,1.5*(1-C997)^3,IF($B$4=4,2*(1-C997)^4+6*C997*(1-C997)^3,0)))</f>
        <v/>
      </c>
    </row>
    <row r="998">
      <c r="A998" s="51" t="n">
        <v>0.989</v>
      </c>
      <c r="B998" s="52">
        <f>$B$3*A998^2</f>
        <v/>
      </c>
      <c r="C998" s="52">
        <f>IF($B$4=3,IF(B998&lt;=0.5,1,(1-B998)/B998),IF($B$4=4,IF(B998&lt;=1/3,1,(-B998+SQRT(4*B998-3*B998^2))/(2*B998)),1))</f>
        <v/>
      </c>
      <c r="D998" s="51">
        <f>IF(A998&gt;$B$6+0.0000001,1E+30,$B$5*IF($B$4=3,1.5*(1-C998)^3,IF($B$4=4,2*(1-C998)^4+6*C998*(1-C998)^3,0)))</f>
        <v/>
      </c>
    </row>
    <row r="999">
      <c r="A999" s="51" t="n">
        <v>0.99</v>
      </c>
      <c r="B999" s="52">
        <f>$B$3*A999^2</f>
        <v/>
      </c>
      <c r="C999" s="52">
        <f>IF($B$4=3,IF(B999&lt;=0.5,1,(1-B999)/B999),IF($B$4=4,IF(B999&lt;=1/3,1,(-B999+SQRT(4*B999-3*B999^2))/(2*B999)),1))</f>
        <v/>
      </c>
      <c r="D999" s="51">
        <f>IF(A999&gt;$B$6+0.0000001,1E+30,$B$5*IF($B$4=3,1.5*(1-C999)^3,IF($B$4=4,2*(1-C999)^4+6*C999*(1-C999)^3,0)))</f>
        <v/>
      </c>
    </row>
    <row r="1000">
      <c r="A1000" s="51" t="n">
        <v>0.991</v>
      </c>
      <c r="B1000" s="52">
        <f>$B$3*A1000^2</f>
        <v/>
      </c>
      <c r="C1000" s="52">
        <f>IF($B$4=3,IF(B1000&lt;=0.5,1,(1-B1000)/B1000),IF($B$4=4,IF(B1000&lt;=1/3,1,(-B1000+SQRT(4*B1000-3*B1000^2))/(2*B1000)),1))</f>
        <v/>
      </c>
      <c r="D1000" s="51">
        <f>IF(A1000&gt;$B$6+0.0000001,1E+30,$B$5*IF($B$4=3,1.5*(1-C1000)^3,IF($B$4=4,2*(1-C1000)^4+6*C1000*(1-C1000)^3,0)))</f>
        <v/>
      </c>
    </row>
    <row r="1001">
      <c r="A1001" s="51" t="n">
        <v>0.992</v>
      </c>
      <c r="B1001" s="52">
        <f>$B$3*A1001^2</f>
        <v/>
      </c>
      <c r="C1001" s="52">
        <f>IF($B$4=3,IF(B1001&lt;=0.5,1,(1-B1001)/B1001),IF($B$4=4,IF(B1001&lt;=1/3,1,(-B1001+SQRT(4*B1001-3*B1001^2))/(2*B1001)),1))</f>
        <v/>
      </c>
      <c r="D1001" s="51">
        <f>IF(A1001&gt;$B$6+0.0000001,1E+30,$B$5*IF($B$4=3,1.5*(1-C1001)^3,IF($B$4=4,2*(1-C1001)^4+6*C1001*(1-C1001)^3,0)))</f>
        <v/>
      </c>
    </row>
    <row r="1002">
      <c r="A1002" s="51" t="n">
        <v>0.993</v>
      </c>
      <c r="B1002" s="52">
        <f>$B$3*A1002^2</f>
        <v/>
      </c>
      <c r="C1002" s="52">
        <f>IF($B$4=3,IF(B1002&lt;=0.5,1,(1-B1002)/B1002),IF($B$4=4,IF(B1002&lt;=1/3,1,(-B1002+SQRT(4*B1002-3*B1002^2))/(2*B1002)),1))</f>
        <v/>
      </c>
      <c r="D1002" s="51">
        <f>IF(A1002&gt;$B$6+0.0000001,1E+30,$B$5*IF($B$4=3,1.5*(1-C1002)^3,IF($B$4=4,2*(1-C1002)^4+6*C1002*(1-C1002)^3,0)))</f>
        <v/>
      </c>
    </row>
    <row r="1003">
      <c r="A1003" s="51" t="n">
        <v>0.994</v>
      </c>
      <c r="B1003" s="52">
        <f>$B$3*A1003^2</f>
        <v/>
      </c>
      <c r="C1003" s="52">
        <f>IF($B$4=3,IF(B1003&lt;=0.5,1,(1-B1003)/B1003),IF($B$4=4,IF(B1003&lt;=1/3,1,(-B1003+SQRT(4*B1003-3*B1003^2))/(2*B1003)),1))</f>
        <v/>
      </c>
      <c r="D1003" s="51">
        <f>IF(A1003&gt;$B$6+0.0000001,1E+30,$B$5*IF($B$4=3,1.5*(1-C1003)^3,IF($B$4=4,2*(1-C1003)^4+6*C1003*(1-C1003)^3,0)))</f>
        <v/>
      </c>
    </row>
    <row r="1004">
      <c r="A1004" s="51" t="n">
        <v>0.995</v>
      </c>
      <c r="B1004" s="52">
        <f>$B$3*A1004^2</f>
        <v/>
      </c>
      <c r="C1004" s="52">
        <f>IF($B$4=3,IF(B1004&lt;=0.5,1,(1-B1004)/B1004),IF($B$4=4,IF(B1004&lt;=1/3,1,(-B1004+SQRT(4*B1004-3*B1004^2))/(2*B1004)),1))</f>
        <v/>
      </c>
      <c r="D1004" s="51">
        <f>IF(A1004&gt;$B$6+0.0000001,1E+30,$B$5*IF($B$4=3,1.5*(1-C1004)^3,IF($B$4=4,2*(1-C1004)^4+6*C1004*(1-C1004)^3,0)))</f>
        <v/>
      </c>
    </row>
    <row r="1005">
      <c r="A1005" s="51" t="n">
        <v>0.996</v>
      </c>
      <c r="B1005" s="52">
        <f>$B$3*A1005^2</f>
        <v/>
      </c>
      <c r="C1005" s="52">
        <f>IF($B$4=3,IF(B1005&lt;=0.5,1,(1-B1005)/B1005),IF($B$4=4,IF(B1005&lt;=1/3,1,(-B1005+SQRT(4*B1005-3*B1005^2))/(2*B1005)),1))</f>
        <v/>
      </c>
      <c r="D1005" s="51">
        <f>IF(A1005&gt;$B$6+0.0000001,1E+30,$B$5*IF($B$4=3,1.5*(1-C1005)^3,IF($B$4=4,2*(1-C1005)^4+6*C1005*(1-C1005)^3,0)))</f>
        <v/>
      </c>
    </row>
    <row r="1006">
      <c r="A1006" s="51" t="n">
        <v>0.997</v>
      </c>
      <c r="B1006" s="52">
        <f>$B$3*A1006^2</f>
        <v/>
      </c>
      <c r="C1006" s="52">
        <f>IF($B$4=3,IF(B1006&lt;=0.5,1,(1-B1006)/B1006),IF($B$4=4,IF(B1006&lt;=1/3,1,(-B1006+SQRT(4*B1006-3*B1006^2))/(2*B1006)),1))</f>
        <v/>
      </c>
      <c r="D1006" s="51">
        <f>IF(A1006&gt;$B$6+0.0000001,1E+30,$B$5*IF($B$4=3,1.5*(1-C1006)^3,IF($B$4=4,2*(1-C1006)^4+6*C1006*(1-C1006)^3,0)))</f>
        <v/>
      </c>
    </row>
    <row r="1007">
      <c r="A1007" s="51" t="n">
        <v>0.998</v>
      </c>
      <c r="B1007" s="52">
        <f>$B$3*A1007^2</f>
        <v/>
      </c>
      <c r="C1007" s="52">
        <f>IF($B$4=3,IF(B1007&lt;=0.5,1,(1-B1007)/B1007),IF($B$4=4,IF(B1007&lt;=1/3,1,(-B1007+SQRT(4*B1007-3*B1007^2))/(2*B1007)),1))</f>
        <v/>
      </c>
      <c r="D1007" s="51">
        <f>IF(A1007&gt;$B$6+0.0000001,1E+30,$B$5*IF($B$4=3,1.5*(1-C1007)^3,IF($B$4=4,2*(1-C1007)^4+6*C1007*(1-C1007)^3,0)))</f>
        <v/>
      </c>
    </row>
    <row r="1008">
      <c r="A1008" s="51" t="n">
        <v>0.999</v>
      </c>
      <c r="B1008" s="52">
        <f>$B$3*A1008^2</f>
        <v/>
      </c>
      <c r="C1008" s="52">
        <f>IF($B$4=3,IF(B1008&lt;=0.5,1,(1-B1008)/B1008),IF($B$4=4,IF(B1008&lt;=1/3,1,(-B1008+SQRT(4*B1008-3*B1008^2))/(2*B1008)),1))</f>
        <v/>
      </c>
      <c r="D1008" s="51">
        <f>IF(A1008&gt;$B$6+0.0000001,1E+30,$B$5*IF($B$4=3,1.5*(1-C1008)^3,IF($B$4=4,2*(1-C1008)^4+6*C1008*(1-C1008)^3,0)))</f>
        <v/>
      </c>
    </row>
    <row r="1009">
      <c r="A1009" s="51" t="n">
        <v>1</v>
      </c>
      <c r="B1009" s="52">
        <f>$B$3*A1009^2</f>
        <v/>
      </c>
      <c r="C1009" s="52">
        <f>IF($B$4=3,IF(B1009&lt;=0.5,1,(1-B1009)/B1009),IF($B$4=4,IF(B1009&lt;=1/3,1,(-B1009+SQRT(4*B1009-3*B1009^2))/(2*B1009)),1))</f>
        <v/>
      </c>
      <c r="D1009" s="51">
        <f>IF(A1009&gt;$B$6+0.0000001,1E+30,$B$5*IF($B$4=3,1.5*(1-C1009)^3,IF($B$4=4,2*(1-C1009)^4+6*C1009*(1-C1009)^3,0)))</f>
        <v/>
      </c>
    </row>
  </sheetData>
  <hyperlinks>
    <hyperlink ref="E4" location="'Guide'!A1" display="↩ Back to the Guide"/>
  </hyperlink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6" customWidth="1" min="5" max="5"/>
    <col width="9" customWidth="1" min="6" max="6"/>
    <col width="9" customWidth="1" min="7" max="7"/>
    <col width="3" customWidth="1" min="8" max="8"/>
    <col width="11" customWidth="1" min="9" max="9"/>
    <col width="10" customWidth="1" min="10" max="10"/>
    <col width="11" customWidth="1" min="11" max="11"/>
    <col width="6" customWidth="1" min="12" max="12"/>
    <col width="9" customWidth="1" min="13" max="13"/>
    <col width="9" customWidth="1" min="14" max="14"/>
    <col width="3" customWidth="1" min="15" max="15"/>
    <col width="11" customWidth="1" min="16" max="16"/>
    <col width="10" customWidth="1" min="17" max="17"/>
    <col width="11" customWidth="1" min="18" max="18"/>
    <col width="6" customWidth="1" min="19" max="19"/>
    <col width="9" customWidth="1" min="20" max="20"/>
    <col width="9" customWidth="1" min="21" max="21"/>
    <col width="3" customWidth="1" min="22" max="22"/>
    <col width="9" customWidth="1" min="23" max="23"/>
    <col width="12" customWidth="1" min="24" max="24"/>
    <col width="12" customWidth="1" min="25" max="25"/>
    <col width="12" customWidth="1" min="26" max="26"/>
    <col width="3" customWidth="1" min="27" max="27"/>
    <col width="36" customWidth="1" min="28" max="28"/>
    <col width="12" customWidth="1" min="29" max="29"/>
  </cols>
  <sheetData>
    <row r="1">
      <c r="A1" s="1" t="inlineStr">
        <is>
          <t>λ fit for the DiBenedetto equation (calculation sheet — no inputs)</t>
        </is>
      </c>
    </row>
    <row r="2">
      <c r="A2" s="2" t="inlineStr">
        <is>
          <t>Least squares: picks the λ that minimises Σ(α_Tg − α_heat)² on a 0.005 grid. Feeds DSC!J20, DMA!K14 and TMA!K14.     ▸ How to use this sheet: column AB</t>
        </is>
      </c>
    </row>
    <row r="3">
      <c r="A3" s="3" t="inlineStr">
        <is>
          <t>DSC points (DSC rows 23–42)</t>
        </is>
      </c>
      <c r="I3" s="3" t="inlineStr">
        <is>
          <t>DMA points vs DSC α</t>
        </is>
      </c>
      <c r="P3" s="3" t="inlineStr">
        <is>
          <t>TMA points vs DSC α</t>
        </is>
      </c>
      <c r="W3" s="3" t="inlineStr">
        <is>
          <t>λ grid</t>
        </is>
      </c>
      <c r="AB3" s="3" t="inlineStr">
        <is>
          <t>Results</t>
        </is>
      </c>
    </row>
    <row r="4" ht="30" customHeight="1">
      <c r="A4" s="11" t="inlineStr">
        <is>
          <t>DSC row</t>
        </is>
      </c>
      <c r="B4" s="11" t="inlineStr">
        <is>
          <t>Sample ID</t>
        </is>
      </c>
      <c r="C4" s="11" t="inlineStr">
        <is>
          <t>x</t>
        </is>
      </c>
      <c r="D4" s="11" t="inlineStr">
        <is>
          <t>α_heat</t>
        </is>
      </c>
      <c r="E4" s="11" t="inlineStr">
        <is>
          <t>use</t>
        </is>
      </c>
      <c r="F4" s="11" t="inlineStr">
        <is>
          <t>x used</t>
        </is>
      </c>
      <c r="G4" s="11" t="inlineStr">
        <is>
          <t>α used</t>
        </is>
      </c>
      <c r="I4" s="11" t="inlineStr">
        <is>
          <t>Sample ID</t>
        </is>
      </c>
      <c r="J4" s="11" t="inlineStr">
        <is>
          <t>x (tan δ)</t>
        </is>
      </c>
      <c r="K4" s="11" t="inlineStr">
        <is>
          <t>α_heat (DSC)</t>
        </is>
      </c>
      <c r="L4" s="11" t="inlineStr">
        <is>
          <t>use</t>
        </is>
      </c>
      <c r="M4" s="11" t="inlineStr">
        <is>
          <t>x used</t>
        </is>
      </c>
      <c r="N4" s="11" t="inlineStr">
        <is>
          <t>α used</t>
        </is>
      </c>
      <c r="P4" s="11" t="inlineStr">
        <is>
          <t>Sample ID</t>
        </is>
      </c>
      <c r="Q4" s="11" t="inlineStr">
        <is>
          <t>x (TMA)</t>
        </is>
      </c>
      <c r="R4" s="11" t="inlineStr">
        <is>
          <t>α_heat (DSC)</t>
        </is>
      </c>
      <c r="S4" s="11" t="inlineStr">
        <is>
          <t>use</t>
        </is>
      </c>
      <c r="T4" s="11" t="inlineStr">
        <is>
          <t>x used</t>
        </is>
      </c>
      <c r="U4" s="11" t="inlineStr">
        <is>
          <t>α used</t>
        </is>
      </c>
      <c r="W4" s="11" t="inlineStr">
        <is>
          <t>λ</t>
        </is>
      </c>
      <c r="X4" s="11" t="inlineStr">
        <is>
          <t>SSE (DSC)</t>
        </is>
      </c>
      <c r="Y4" s="11" t="inlineStr">
        <is>
          <t>SSE (DMA)</t>
        </is>
      </c>
      <c r="Z4" s="11" t="inlineStr">
        <is>
          <t>SSE (TMA)</t>
        </is>
      </c>
    </row>
    <row r="5">
      <c r="A5" s="35" t="n">
        <v>23</v>
      </c>
      <c r="B5" s="49">
        <f>IF(DSC!A23="","",DSC!A23)</f>
        <v/>
      </c>
      <c r="C5" s="42">
        <f>DSC!J23</f>
        <v/>
      </c>
      <c r="D5" s="19">
        <f>DSC!H23</f>
        <v/>
      </c>
      <c r="E5" s="35">
        <f>IF(AND(ISNUMBER(C5),ISNUMBER(D5)),IF(AND(C5&gt;=0,C5&lt;=1,D5&gt;=0,D5&lt;=1),1,0),0)</f>
        <v/>
      </c>
      <c r="F5" s="30">
        <f>IF(E5=1,C5,0)</f>
        <v/>
      </c>
      <c r="G5" s="30">
        <f>IF(E5=1,D5,0)</f>
        <v/>
      </c>
      <c r="I5" s="49">
        <f>IF(DMA!A18="","",DMA!A18)</f>
        <v/>
      </c>
      <c r="J5" s="42">
        <f>IF(DMA!F18="","",(DMA!F18-DMA!$B$13)/(DMA!$B$14-DMA!$B$13))</f>
        <v/>
      </c>
      <c r="K5" s="19">
        <f>IF(I5="","",IFERROR(INDEX(DSC!$H$23:$H$42,MATCH(I5,DSC!$A$23:$A$42,0)),""))</f>
        <v/>
      </c>
      <c r="L5" s="35">
        <f>IF(AND(ISNUMBER(J5),ISNUMBER(K5)),IF(AND(J5&gt;=0,J5&lt;=1,K5&gt;=0,K5&lt;=1),1,0),0)</f>
        <v/>
      </c>
      <c r="M5" s="30">
        <f>IF(L5=1,J5,0)</f>
        <v/>
      </c>
      <c r="N5" s="30">
        <f>IF(L5=1,K5,0)</f>
        <v/>
      </c>
      <c r="P5" s="49">
        <f>IF(TMA!A20="","",TMA!A20)</f>
        <v/>
      </c>
      <c r="Q5" s="42">
        <f>TMA!R20</f>
        <v/>
      </c>
      <c r="R5" s="19">
        <f>IF(P5="","",IFERROR(INDEX(DSC!$H$23:$H$42,MATCH(P5,DSC!$A$23:$A$42,0)),""))</f>
        <v/>
      </c>
      <c r="S5" s="35">
        <f>IF(AND(ISNUMBER(Q5),ISNUMBER(R5)),IF(AND(Q5&gt;=0,Q5&lt;=1,R5&gt;=0,R5&lt;=1),1,0),0)</f>
        <v/>
      </c>
      <c r="T5" s="30">
        <f>IF(S5=1,Q5,0)</f>
        <v/>
      </c>
      <c r="U5" s="30">
        <f>IF(S5=1,R5,0)</f>
        <v/>
      </c>
      <c r="W5" s="30" t="n">
        <v>0.05</v>
      </c>
      <c r="X5" s="45">
        <f>SUMPRODUCT($E$5:$E$24,($F$5:$F$24/(W5+$F$5:$F$24*(1-W5))-$G$5:$G$24)^2)</f>
        <v/>
      </c>
      <c r="Y5" s="45">
        <f>SUMPRODUCT($L$5:$L$24,($M$5:$M$24/(W5+$M$5:$M$24*(1-W5))-$N$5:$N$24)^2)</f>
        <v/>
      </c>
      <c r="Z5" s="45">
        <f>SUMPRODUCT($S$5:$S$24,($T$5:$T$24/(W5+$T$5:$T$24*(1-W5))-$U$5:$U$24)^2)</f>
        <v/>
      </c>
      <c r="AB5" s="23" t="inlineStr">
        <is>
          <t>DSC points used</t>
        </is>
      </c>
      <c r="AC5" s="35">
        <f>SUM(E5:E24)</f>
        <v/>
      </c>
    </row>
    <row r="6">
      <c r="A6" s="35" t="n">
        <v>24</v>
      </c>
      <c r="B6" s="49">
        <f>IF(DSC!A24="","",DSC!A24)</f>
        <v/>
      </c>
      <c r="C6" s="42">
        <f>DSC!J24</f>
        <v/>
      </c>
      <c r="D6" s="19">
        <f>DSC!H24</f>
        <v/>
      </c>
      <c r="E6" s="35">
        <f>IF(AND(ISNUMBER(C6),ISNUMBER(D6)),IF(AND(C6&gt;=0,C6&lt;=1,D6&gt;=0,D6&lt;=1),1,0),0)</f>
        <v/>
      </c>
      <c r="F6" s="30">
        <f>IF(E6=1,C6,0)</f>
        <v/>
      </c>
      <c r="G6" s="30">
        <f>IF(E6=1,D6,0)</f>
        <v/>
      </c>
      <c r="I6" s="49">
        <f>IF(DMA!A19="","",DMA!A19)</f>
        <v/>
      </c>
      <c r="J6" s="42">
        <f>IF(DMA!F19="","",(DMA!F19-DMA!$B$13)/(DMA!$B$14-DMA!$B$13))</f>
        <v/>
      </c>
      <c r="K6" s="19">
        <f>IF(I6="","",IFERROR(INDEX(DSC!$H$23:$H$42,MATCH(I6,DSC!$A$23:$A$42,0)),""))</f>
        <v/>
      </c>
      <c r="L6" s="35">
        <f>IF(AND(ISNUMBER(J6),ISNUMBER(K6)),IF(AND(J6&gt;=0,J6&lt;=1,K6&gt;=0,K6&lt;=1),1,0),0)</f>
        <v/>
      </c>
      <c r="M6" s="30">
        <f>IF(L6=1,J6,0)</f>
        <v/>
      </c>
      <c r="N6" s="30">
        <f>IF(L6=1,K6,0)</f>
        <v/>
      </c>
      <c r="P6" s="49">
        <f>IF(TMA!A21="","",TMA!A21)</f>
        <v/>
      </c>
      <c r="Q6" s="42">
        <f>TMA!R21</f>
        <v/>
      </c>
      <c r="R6" s="19">
        <f>IF(P6="","",IFERROR(INDEX(DSC!$H$23:$H$42,MATCH(P6,DSC!$A$23:$A$42,0)),""))</f>
        <v/>
      </c>
      <c r="S6" s="35">
        <f>IF(AND(ISNUMBER(Q6),ISNUMBER(R6)),IF(AND(Q6&gt;=0,Q6&lt;=1,R6&gt;=0,R6&lt;=1),1,0),0)</f>
        <v/>
      </c>
      <c r="T6" s="30">
        <f>IF(S6=1,Q6,0)</f>
        <v/>
      </c>
      <c r="U6" s="30">
        <f>IF(S6=1,R6,0)</f>
        <v/>
      </c>
      <c r="W6" s="30" t="n">
        <v>0.055</v>
      </c>
      <c r="X6" s="45">
        <f>SUMPRODUCT($E$5:$E$24,($F$5:$F$24/(W6+$F$5:$F$24*(1-W6))-$G$5:$G$24)^2)</f>
        <v/>
      </c>
      <c r="Y6" s="45">
        <f>SUMPRODUCT($L$5:$L$24,($M$5:$M$24/(W6+$M$5:$M$24*(1-W6))-$N$5:$N$24)^2)</f>
        <v/>
      </c>
      <c r="Z6" s="45">
        <f>SUMPRODUCT($S$5:$S$24,($T$5:$T$24/(W6+$T$5:$T$24*(1-W6))-$U$5:$U$24)^2)</f>
        <v/>
      </c>
      <c r="AB6" s="23" t="inlineStr">
        <is>
          <t>λ fitted to DSC data</t>
        </is>
      </c>
      <c r="AC6" s="30">
        <f>IF(AC5&lt;2,"",INDEX($W$5:$W$295,MATCH(MIN($X$5:$X$295),$X$5:$X$295,0)))</f>
        <v/>
      </c>
    </row>
    <row r="7">
      <c r="A7" s="35" t="n">
        <v>25</v>
      </c>
      <c r="B7" s="49">
        <f>IF(DSC!A25="","",DSC!A25)</f>
        <v/>
      </c>
      <c r="C7" s="42">
        <f>DSC!J25</f>
        <v/>
      </c>
      <c r="D7" s="19">
        <f>DSC!H25</f>
        <v/>
      </c>
      <c r="E7" s="35">
        <f>IF(AND(ISNUMBER(C7),ISNUMBER(D7)),IF(AND(C7&gt;=0,C7&lt;=1,D7&gt;=0,D7&lt;=1),1,0),0)</f>
        <v/>
      </c>
      <c r="F7" s="30">
        <f>IF(E7=1,C7,0)</f>
        <v/>
      </c>
      <c r="G7" s="30">
        <f>IF(E7=1,D7,0)</f>
        <v/>
      </c>
      <c r="I7" s="49">
        <f>IF(DMA!A20="","",DMA!A20)</f>
        <v/>
      </c>
      <c r="J7" s="42">
        <f>IF(DMA!F20="","",(DMA!F20-DMA!$B$13)/(DMA!$B$14-DMA!$B$13))</f>
        <v/>
      </c>
      <c r="K7" s="19">
        <f>IF(I7="","",IFERROR(INDEX(DSC!$H$23:$H$42,MATCH(I7,DSC!$A$23:$A$42,0)),""))</f>
        <v/>
      </c>
      <c r="L7" s="35">
        <f>IF(AND(ISNUMBER(J7),ISNUMBER(K7)),IF(AND(J7&gt;=0,J7&lt;=1,K7&gt;=0,K7&lt;=1),1,0),0)</f>
        <v/>
      </c>
      <c r="M7" s="30">
        <f>IF(L7=1,J7,0)</f>
        <v/>
      </c>
      <c r="N7" s="30">
        <f>IF(L7=1,K7,0)</f>
        <v/>
      </c>
      <c r="P7" s="49">
        <f>IF(TMA!A22="","",TMA!A22)</f>
        <v/>
      </c>
      <c r="Q7" s="42">
        <f>TMA!R22</f>
        <v/>
      </c>
      <c r="R7" s="19">
        <f>IF(P7="","",IFERROR(INDEX(DSC!$H$23:$H$42,MATCH(P7,DSC!$A$23:$A$42,0)),""))</f>
        <v/>
      </c>
      <c r="S7" s="35">
        <f>IF(AND(ISNUMBER(Q7),ISNUMBER(R7)),IF(AND(Q7&gt;=0,Q7&lt;=1,R7&gt;=0,R7&lt;=1),1,0),0)</f>
        <v/>
      </c>
      <c r="T7" s="30">
        <f>IF(S7=1,Q7,0)</f>
        <v/>
      </c>
      <c r="U7" s="30">
        <f>IF(S7=1,R7,0)</f>
        <v/>
      </c>
      <c r="W7" s="30" t="n">
        <v>0.06</v>
      </c>
      <c r="X7" s="45">
        <f>SUMPRODUCT($E$5:$E$24,($F$5:$F$24/(W7+$F$5:$F$24*(1-W7))-$G$5:$G$24)^2)</f>
        <v/>
      </c>
      <c r="Y7" s="45">
        <f>SUMPRODUCT($L$5:$L$24,($M$5:$M$24/(W7+$M$5:$M$24*(1-W7))-$N$5:$N$24)^2)</f>
        <v/>
      </c>
      <c r="Z7" s="45">
        <f>SUMPRODUCT($S$5:$S$24,($T$5:$T$24/(W7+$T$5:$T$24*(1-W7))-$U$5:$U$24)^2)</f>
        <v/>
      </c>
      <c r="AB7" s="23" t="inlineStr">
        <is>
          <t>RMS residual in α (DSC)</t>
        </is>
      </c>
      <c r="AC7" s="20">
        <f>IF(AC6="","",SQRT(MIN($X$5:$X$295)/AC5))</f>
        <v/>
      </c>
    </row>
    <row r="8">
      <c r="A8" s="35" t="n">
        <v>26</v>
      </c>
      <c r="B8" s="49">
        <f>IF(DSC!A26="","",DSC!A26)</f>
        <v/>
      </c>
      <c r="C8" s="42">
        <f>DSC!J26</f>
        <v/>
      </c>
      <c r="D8" s="19">
        <f>DSC!H26</f>
        <v/>
      </c>
      <c r="E8" s="35">
        <f>IF(AND(ISNUMBER(C8),ISNUMBER(D8)),IF(AND(C8&gt;=0,C8&lt;=1,D8&gt;=0,D8&lt;=1),1,0),0)</f>
        <v/>
      </c>
      <c r="F8" s="30">
        <f>IF(E8=1,C8,0)</f>
        <v/>
      </c>
      <c r="G8" s="30">
        <f>IF(E8=1,D8,0)</f>
        <v/>
      </c>
      <c r="I8" s="49">
        <f>IF(DMA!A21="","",DMA!A21)</f>
        <v/>
      </c>
      <c r="J8" s="42">
        <f>IF(DMA!F21="","",(DMA!F21-DMA!$B$13)/(DMA!$B$14-DMA!$B$13))</f>
        <v/>
      </c>
      <c r="K8" s="19">
        <f>IF(I8="","",IFERROR(INDEX(DSC!$H$23:$H$42,MATCH(I8,DSC!$A$23:$A$42,0)),""))</f>
        <v/>
      </c>
      <c r="L8" s="35">
        <f>IF(AND(ISNUMBER(J8),ISNUMBER(K8)),IF(AND(J8&gt;=0,J8&lt;=1,K8&gt;=0,K8&lt;=1),1,0),0)</f>
        <v/>
      </c>
      <c r="M8" s="30">
        <f>IF(L8=1,J8,0)</f>
        <v/>
      </c>
      <c r="N8" s="30">
        <f>IF(L8=1,K8,0)</f>
        <v/>
      </c>
      <c r="P8" s="49">
        <f>IF(TMA!A23="","",TMA!A23)</f>
        <v/>
      </c>
      <c r="Q8" s="42">
        <f>TMA!R23</f>
        <v/>
      </c>
      <c r="R8" s="19">
        <f>IF(P8="","",IFERROR(INDEX(DSC!$H$23:$H$42,MATCH(P8,DSC!$A$23:$A$42,0)),""))</f>
        <v/>
      </c>
      <c r="S8" s="35">
        <f>IF(AND(ISNUMBER(Q8),ISNUMBER(R8)),IF(AND(Q8&gt;=0,Q8&lt;=1,R8&gt;=0,R8&lt;=1),1,0),0)</f>
        <v/>
      </c>
      <c r="T8" s="30">
        <f>IF(S8=1,Q8,0)</f>
        <v/>
      </c>
      <c r="U8" s="30">
        <f>IF(S8=1,R8,0)</f>
        <v/>
      </c>
      <c r="W8" s="30" t="n">
        <v>0.065</v>
      </c>
      <c r="X8" s="45">
        <f>SUMPRODUCT($E$5:$E$24,($F$5:$F$24/(W8+$F$5:$F$24*(1-W8))-$G$5:$G$24)^2)</f>
        <v/>
      </c>
      <c r="Y8" s="45">
        <f>SUMPRODUCT($L$5:$L$24,($M$5:$M$24/(W8+$M$5:$M$24*(1-W8))-$N$5:$N$24)^2)</f>
        <v/>
      </c>
      <c r="Z8" s="45">
        <f>SUMPRODUCT($S$5:$S$24,($T$5:$T$24/(W8+$T$5:$T$24*(1-W8))-$U$5:$U$24)^2)</f>
        <v/>
      </c>
      <c r="AB8" s="23" t="inlineStr">
        <is>
          <t>DMA points used</t>
        </is>
      </c>
      <c r="AC8" s="35">
        <f>SUM(L5:L24)</f>
        <v/>
      </c>
    </row>
    <row r="9">
      <c r="A9" s="35" t="n">
        <v>27</v>
      </c>
      <c r="B9" s="49">
        <f>IF(DSC!A27="","",DSC!A27)</f>
        <v/>
      </c>
      <c r="C9" s="42">
        <f>DSC!J27</f>
        <v/>
      </c>
      <c r="D9" s="19">
        <f>DSC!H27</f>
        <v/>
      </c>
      <c r="E9" s="35">
        <f>IF(AND(ISNUMBER(C9),ISNUMBER(D9)),IF(AND(C9&gt;=0,C9&lt;=1,D9&gt;=0,D9&lt;=1),1,0),0)</f>
        <v/>
      </c>
      <c r="F9" s="30">
        <f>IF(E9=1,C9,0)</f>
        <v/>
      </c>
      <c r="G9" s="30">
        <f>IF(E9=1,D9,0)</f>
        <v/>
      </c>
      <c r="I9" s="49">
        <f>IF(DMA!A22="","",DMA!A22)</f>
        <v/>
      </c>
      <c r="J9" s="42">
        <f>IF(DMA!F22="","",(DMA!F22-DMA!$B$13)/(DMA!$B$14-DMA!$B$13))</f>
        <v/>
      </c>
      <c r="K9" s="19">
        <f>IF(I9="","",IFERROR(INDEX(DSC!$H$23:$H$42,MATCH(I9,DSC!$A$23:$A$42,0)),""))</f>
        <v/>
      </c>
      <c r="L9" s="35">
        <f>IF(AND(ISNUMBER(J9),ISNUMBER(K9)),IF(AND(J9&gt;=0,J9&lt;=1,K9&gt;=0,K9&lt;=1),1,0),0)</f>
        <v/>
      </c>
      <c r="M9" s="30">
        <f>IF(L9=1,J9,0)</f>
        <v/>
      </c>
      <c r="N9" s="30">
        <f>IF(L9=1,K9,0)</f>
        <v/>
      </c>
      <c r="P9" s="49">
        <f>IF(TMA!A24="","",TMA!A24)</f>
        <v/>
      </c>
      <c r="Q9" s="42">
        <f>TMA!R24</f>
        <v/>
      </c>
      <c r="R9" s="19">
        <f>IF(P9="","",IFERROR(INDEX(DSC!$H$23:$H$42,MATCH(P9,DSC!$A$23:$A$42,0)),""))</f>
        <v/>
      </c>
      <c r="S9" s="35">
        <f>IF(AND(ISNUMBER(Q9),ISNUMBER(R9)),IF(AND(Q9&gt;=0,Q9&lt;=1,R9&gt;=0,R9&lt;=1),1,0),0)</f>
        <v/>
      </c>
      <c r="T9" s="30">
        <f>IF(S9=1,Q9,0)</f>
        <v/>
      </c>
      <c r="U9" s="30">
        <f>IF(S9=1,R9,0)</f>
        <v/>
      </c>
      <c r="W9" s="30" t="n">
        <v>0.07000000000000001</v>
      </c>
      <c r="X9" s="45">
        <f>SUMPRODUCT($E$5:$E$24,($F$5:$F$24/(W9+$F$5:$F$24*(1-W9))-$G$5:$G$24)^2)</f>
        <v/>
      </c>
      <c r="Y9" s="45">
        <f>SUMPRODUCT($L$5:$L$24,($M$5:$M$24/(W9+$M$5:$M$24*(1-W9))-$N$5:$N$24)^2)</f>
        <v/>
      </c>
      <c r="Z9" s="45">
        <f>SUMPRODUCT($S$5:$S$24,($T$5:$T$24/(W9+$T$5:$T$24*(1-W9))-$U$5:$U$24)^2)</f>
        <v/>
      </c>
      <c r="AB9" s="23" t="inlineStr">
        <is>
          <t>λ fitted to DMA Tg vs DSC α</t>
        </is>
      </c>
      <c r="AC9" s="30">
        <f>IF(AC8&lt;2,"",INDEX($W$5:$W$295,MATCH(MIN($Y$5:$Y$295),$Y$5:$Y$295,0)))</f>
        <v/>
      </c>
    </row>
    <row r="10">
      <c r="A10" s="35" t="n">
        <v>28</v>
      </c>
      <c r="B10" s="49">
        <f>IF(DSC!A28="","",DSC!A28)</f>
        <v/>
      </c>
      <c r="C10" s="42">
        <f>DSC!J28</f>
        <v/>
      </c>
      <c r="D10" s="19">
        <f>DSC!H28</f>
        <v/>
      </c>
      <c r="E10" s="35">
        <f>IF(AND(ISNUMBER(C10),ISNUMBER(D10)),IF(AND(C10&gt;=0,C10&lt;=1,D10&gt;=0,D10&lt;=1),1,0),0)</f>
        <v/>
      </c>
      <c r="F10" s="30">
        <f>IF(E10=1,C10,0)</f>
        <v/>
      </c>
      <c r="G10" s="30">
        <f>IF(E10=1,D10,0)</f>
        <v/>
      </c>
      <c r="I10" s="49">
        <f>IF(DMA!A23="","",DMA!A23)</f>
        <v/>
      </c>
      <c r="J10" s="42">
        <f>IF(DMA!F23="","",(DMA!F23-DMA!$B$13)/(DMA!$B$14-DMA!$B$13))</f>
        <v/>
      </c>
      <c r="K10" s="19">
        <f>IF(I10="","",IFERROR(INDEX(DSC!$H$23:$H$42,MATCH(I10,DSC!$A$23:$A$42,0)),""))</f>
        <v/>
      </c>
      <c r="L10" s="35">
        <f>IF(AND(ISNUMBER(J10),ISNUMBER(K10)),IF(AND(J10&gt;=0,J10&lt;=1,K10&gt;=0,K10&lt;=1),1,0),0)</f>
        <v/>
      </c>
      <c r="M10" s="30">
        <f>IF(L10=1,J10,0)</f>
        <v/>
      </c>
      <c r="N10" s="30">
        <f>IF(L10=1,K10,0)</f>
        <v/>
      </c>
      <c r="P10" s="49">
        <f>IF(TMA!A25="","",TMA!A25)</f>
        <v/>
      </c>
      <c r="Q10" s="42">
        <f>TMA!R25</f>
        <v/>
      </c>
      <c r="R10" s="19">
        <f>IF(P10="","",IFERROR(INDEX(DSC!$H$23:$H$42,MATCH(P10,DSC!$A$23:$A$42,0)),""))</f>
        <v/>
      </c>
      <c r="S10" s="35">
        <f>IF(AND(ISNUMBER(Q10),ISNUMBER(R10)),IF(AND(Q10&gt;=0,Q10&lt;=1,R10&gt;=0,R10&lt;=1),1,0),0)</f>
        <v/>
      </c>
      <c r="T10" s="30">
        <f>IF(S10=1,Q10,0)</f>
        <v/>
      </c>
      <c r="U10" s="30">
        <f>IF(S10=1,R10,0)</f>
        <v/>
      </c>
      <c r="W10" s="30" t="n">
        <v>0.075</v>
      </c>
      <c r="X10" s="45">
        <f>SUMPRODUCT($E$5:$E$24,($F$5:$F$24/(W10+$F$5:$F$24*(1-W10))-$G$5:$G$24)^2)</f>
        <v/>
      </c>
      <c r="Y10" s="45">
        <f>SUMPRODUCT($L$5:$L$24,($M$5:$M$24/(W10+$M$5:$M$24*(1-W10))-$N$5:$N$24)^2)</f>
        <v/>
      </c>
      <c r="Z10" s="45">
        <f>SUMPRODUCT($S$5:$S$24,($T$5:$T$24/(W10+$T$5:$T$24*(1-W10))-$U$5:$U$24)^2)</f>
        <v/>
      </c>
      <c r="AB10" s="23" t="inlineStr">
        <is>
          <t>RMS residual in α (DMA)</t>
        </is>
      </c>
      <c r="AC10" s="20">
        <f>IF(AC9="","",SQRT(MIN($Y$5:$Y$295)/AC8))</f>
        <v/>
      </c>
    </row>
    <row r="11">
      <c r="A11" s="35" t="n">
        <v>29</v>
      </c>
      <c r="B11" s="49">
        <f>IF(DSC!A29="","",DSC!A29)</f>
        <v/>
      </c>
      <c r="C11" s="42">
        <f>DSC!J29</f>
        <v/>
      </c>
      <c r="D11" s="19">
        <f>DSC!H29</f>
        <v/>
      </c>
      <c r="E11" s="35">
        <f>IF(AND(ISNUMBER(C11),ISNUMBER(D11)),IF(AND(C11&gt;=0,C11&lt;=1,D11&gt;=0,D11&lt;=1),1,0),0)</f>
        <v/>
      </c>
      <c r="F11" s="30">
        <f>IF(E11=1,C11,0)</f>
        <v/>
      </c>
      <c r="G11" s="30">
        <f>IF(E11=1,D11,0)</f>
        <v/>
      </c>
      <c r="I11" s="49">
        <f>IF(DMA!A24="","",DMA!A24)</f>
        <v/>
      </c>
      <c r="J11" s="42">
        <f>IF(DMA!F24="","",(DMA!F24-DMA!$B$13)/(DMA!$B$14-DMA!$B$13))</f>
        <v/>
      </c>
      <c r="K11" s="19">
        <f>IF(I11="","",IFERROR(INDEX(DSC!$H$23:$H$42,MATCH(I11,DSC!$A$23:$A$42,0)),""))</f>
        <v/>
      </c>
      <c r="L11" s="35">
        <f>IF(AND(ISNUMBER(J11),ISNUMBER(K11)),IF(AND(J11&gt;=0,J11&lt;=1,K11&gt;=0,K11&lt;=1),1,0),0)</f>
        <v/>
      </c>
      <c r="M11" s="30">
        <f>IF(L11=1,J11,0)</f>
        <v/>
      </c>
      <c r="N11" s="30">
        <f>IF(L11=1,K11,0)</f>
        <v/>
      </c>
      <c r="P11" s="49">
        <f>IF(TMA!A26="","",TMA!A26)</f>
        <v/>
      </c>
      <c r="Q11" s="42">
        <f>TMA!R26</f>
        <v/>
      </c>
      <c r="R11" s="19">
        <f>IF(P11="","",IFERROR(INDEX(DSC!$H$23:$H$42,MATCH(P11,DSC!$A$23:$A$42,0)),""))</f>
        <v/>
      </c>
      <c r="S11" s="35">
        <f>IF(AND(ISNUMBER(Q11),ISNUMBER(R11)),IF(AND(Q11&gt;=0,Q11&lt;=1,R11&gt;=0,R11&lt;=1),1,0),0)</f>
        <v/>
      </c>
      <c r="T11" s="30">
        <f>IF(S11=1,Q11,0)</f>
        <v/>
      </c>
      <c r="U11" s="30">
        <f>IF(S11=1,R11,0)</f>
        <v/>
      </c>
      <c r="W11" s="30" t="n">
        <v>0.08</v>
      </c>
      <c r="X11" s="45">
        <f>SUMPRODUCT($E$5:$E$24,($F$5:$F$24/(W11+$F$5:$F$24*(1-W11))-$G$5:$G$24)^2)</f>
        <v/>
      </c>
      <c r="Y11" s="45">
        <f>SUMPRODUCT($L$5:$L$24,($M$5:$M$24/(W11+$M$5:$M$24*(1-W11))-$N$5:$N$24)^2)</f>
        <v/>
      </c>
      <c r="Z11" s="45">
        <f>SUMPRODUCT($S$5:$S$24,($T$5:$T$24/(W11+$T$5:$T$24*(1-W11))-$U$5:$U$24)^2)</f>
        <v/>
      </c>
      <c r="AB11" s="23" t="inlineStr">
        <is>
          <t>TMA points used</t>
        </is>
      </c>
      <c r="AC11" s="35">
        <f>SUM(S5:S24)</f>
        <v/>
      </c>
    </row>
    <row r="12">
      <c r="A12" s="35" t="n">
        <v>30</v>
      </c>
      <c r="B12" s="49">
        <f>IF(DSC!A30="","",DSC!A30)</f>
        <v/>
      </c>
      <c r="C12" s="42">
        <f>DSC!J30</f>
        <v/>
      </c>
      <c r="D12" s="19">
        <f>DSC!H30</f>
        <v/>
      </c>
      <c r="E12" s="35">
        <f>IF(AND(ISNUMBER(C12),ISNUMBER(D12)),IF(AND(C12&gt;=0,C12&lt;=1,D12&gt;=0,D12&lt;=1),1,0),0)</f>
        <v/>
      </c>
      <c r="F12" s="30">
        <f>IF(E12=1,C12,0)</f>
        <v/>
      </c>
      <c r="G12" s="30">
        <f>IF(E12=1,D12,0)</f>
        <v/>
      </c>
      <c r="I12" s="49">
        <f>IF(DMA!A25="","",DMA!A25)</f>
        <v/>
      </c>
      <c r="J12" s="42">
        <f>IF(DMA!F25="","",(DMA!F25-DMA!$B$13)/(DMA!$B$14-DMA!$B$13))</f>
        <v/>
      </c>
      <c r="K12" s="19">
        <f>IF(I12="","",IFERROR(INDEX(DSC!$H$23:$H$42,MATCH(I12,DSC!$A$23:$A$42,0)),""))</f>
        <v/>
      </c>
      <c r="L12" s="35">
        <f>IF(AND(ISNUMBER(J12),ISNUMBER(K12)),IF(AND(J12&gt;=0,J12&lt;=1,K12&gt;=0,K12&lt;=1),1,0),0)</f>
        <v/>
      </c>
      <c r="M12" s="30">
        <f>IF(L12=1,J12,0)</f>
        <v/>
      </c>
      <c r="N12" s="30">
        <f>IF(L12=1,K12,0)</f>
        <v/>
      </c>
      <c r="P12" s="49">
        <f>IF(TMA!A27="","",TMA!A27)</f>
        <v/>
      </c>
      <c r="Q12" s="42">
        <f>TMA!R27</f>
        <v/>
      </c>
      <c r="R12" s="19">
        <f>IF(P12="","",IFERROR(INDEX(DSC!$H$23:$H$42,MATCH(P12,DSC!$A$23:$A$42,0)),""))</f>
        <v/>
      </c>
      <c r="S12" s="35">
        <f>IF(AND(ISNUMBER(Q12),ISNUMBER(R12)),IF(AND(Q12&gt;=0,Q12&lt;=1,R12&gt;=0,R12&lt;=1),1,0),0)</f>
        <v/>
      </c>
      <c r="T12" s="30">
        <f>IF(S12=1,Q12,0)</f>
        <v/>
      </c>
      <c r="U12" s="30">
        <f>IF(S12=1,R12,0)</f>
        <v/>
      </c>
      <c r="W12" s="30" t="n">
        <v>0.08500000000000001</v>
      </c>
      <c r="X12" s="45">
        <f>SUMPRODUCT($E$5:$E$24,($F$5:$F$24/(W12+$F$5:$F$24*(1-W12))-$G$5:$G$24)^2)</f>
        <v/>
      </c>
      <c r="Y12" s="45">
        <f>SUMPRODUCT($L$5:$L$24,($M$5:$M$24/(W12+$M$5:$M$24*(1-W12))-$N$5:$N$24)^2)</f>
        <v/>
      </c>
      <c r="Z12" s="45">
        <f>SUMPRODUCT($S$5:$S$24,($T$5:$T$24/(W12+$T$5:$T$24*(1-W12))-$U$5:$U$24)^2)</f>
        <v/>
      </c>
      <c r="AB12" s="23" t="inlineStr">
        <is>
          <t>λ fitted to TMA Tg vs DSC α</t>
        </is>
      </c>
      <c r="AC12" s="30">
        <f>IF(AC11&lt;2,"",INDEX($W$5:$W$295,MATCH(MIN($Z$5:$Z$295),$Z$5:$Z$295,0)))</f>
        <v/>
      </c>
    </row>
    <row r="13">
      <c r="A13" s="35" t="n">
        <v>31</v>
      </c>
      <c r="B13" s="49">
        <f>IF(DSC!A31="","",DSC!A31)</f>
        <v/>
      </c>
      <c r="C13" s="42">
        <f>DSC!J31</f>
        <v/>
      </c>
      <c r="D13" s="19">
        <f>DSC!H31</f>
        <v/>
      </c>
      <c r="E13" s="35">
        <f>IF(AND(ISNUMBER(C13),ISNUMBER(D13)),IF(AND(C13&gt;=0,C13&lt;=1,D13&gt;=0,D13&lt;=1),1,0),0)</f>
        <v/>
      </c>
      <c r="F13" s="30">
        <f>IF(E13=1,C13,0)</f>
        <v/>
      </c>
      <c r="G13" s="30">
        <f>IF(E13=1,D13,0)</f>
        <v/>
      </c>
      <c r="I13" s="49">
        <f>IF(DMA!A26="","",DMA!A26)</f>
        <v/>
      </c>
      <c r="J13" s="42">
        <f>IF(DMA!F26="","",(DMA!F26-DMA!$B$13)/(DMA!$B$14-DMA!$B$13))</f>
        <v/>
      </c>
      <c r="K13" s="19">
        <f>IF(I13="","",IFERROR(INDEX(DSC!$H$23:$H$42,MATCH(I13,DSC!$A$23:$A$42,0)),""))</f>
        <v/>
      </c>
      <c r="L13" s="35">
        <f>IF(AND(ISNUMBER(J13),ISNUMBER(K13)),IF(AND(J13&gt;=0,J13&lt;=1,K13&gt;=0,K13&lt;=1),1,0),0)</f>
        <v/>
      </c>
      <c r="M13" s="30">
        <f>IF(L13=1,J13,0)</f>
        <v/>
      </c>
      <c r="N13" s="30">
        <f>IF(L13=1,K13,0)</f>
        <v/>
      </c>
      <c r="P13" s="49">
        <f>IF(TMA!A28="","",TMA!A28)</f>
        <v/>
      </c>
      <c r="Q13" s="42">
        <f>TMA!R28</f>
        <v/>
      </c>
      <c r="R13" s="19">
        <f>IF(P13="","",IFERROR(INDEX(DSC!$H$23:$H$42,MATCH(P13,DSC!$A$23:$A$42,0)),""))</f>
        <v/>
      </c>
      <c r="S13" s="35">
        <f>IF(AND(ISNUMBER(Q13),ISNUMBER(R13)),IF(AND(Q13&gt;=0,Q13&lt;=1,R13&gt;=0,R13&lt;=1),1,0),0)</f>
        <v/>
      </c>
      <c r="T13" s="30">
        <f>IF(S13=1,Q13,0)</f>
        <v/>
      </c>
      <c r="U13" s="30">
        <f>IF(S13=1,R13,0)</f>
        <v/>
      </c>
      <c r="W13" s="30" t="n">
        <v>0.09</v>
      </c>
      <c r="X13" s="45">
        <f>SUMPRODUCT($E$5:$E$24,($F$5:$F$24/(W13+$F$5:$F$24*(1-W13))-$G$5:$G$24)^2)</f>
        <v/>
      </c>
      <c r="Y13" s="45">
        <f>SUMPRODUCT($L$5:$L$24,($M$5:$M$24/(W13+$M$5:$M$24*(1-W13))-$N$5:$N$24)^2)</f>
        <v/>
      </c>
      <c r="Z13" s="45">
        <f>SUMPRODUCT($S$5:$S$24,($T$5:$T$24/(W13+$T$5:$T$24*(1-W13))-$U$5:$U$24)^2)</f>
        <v/>
      </c>
      <c r="AB13" s="23" t="inlineStr">
        <is>
          <t>RMS residual in α (TMA)</t>
        </is>
      </c>
      <c r="AC13" s="20">
        <f>IF(AC12="","",SQRT(MIN($Z$5:$Z$295)/AC11))</f>
        <v/>
      </c>
    </row>
    <row r="14">
      <c r="A14" s="35" t="n">
        <v>32</v>
      </c>
      <c r="B14" s="49">
        <f>IF(DSC!A32="","",DSC!A32)</f>
        <v/>
      </c>
      <c r="C14" s="42">
        <f>DSC!J32</f>
        <v/>
      </c>
      <c r="D14" s="19">
        <f>DSC!H32</f>
        <v/>
      </c>
      <c r="E14" s="35">
        <f>IF(AND(ISNUMBER(C14),ISNUMBER(D14)),IF(AND(C14&gt;=0,C14&lt;=1,D14&gt;=0,D14&lt;=1),1,0),0)</f>
        <v/>
      </c>
      <c r="F14" s="30">
        <f>IF(E14=1,C14,0)</f>
        <v/>
      </c>
      <c r="G14" s="30">
        <f>IF(E14=1,D14,0)</f>
        <v/>
      </c>
      <c r="I14" s="49">
        <f>IF(DMA!A27="","",DMA!A27)</f>
        <v/>
      </c>
      <c r="J14" s="42">
        <f>IF(DMA!F27="","",(DMA!F27-DMA!$B$13)/(DMA!$B$14-DMA!$B$13))</f>
        <v/>
      </c>
      <c r="K14" s="19">
        <f>IF(I14="","",IFERROR(INDEX(DSC!$H$23:$H$42,MATCH(I14,DSC!$A$23:$A$42,0)),""))</f>
        <v/>
      </c>
      <c r="L14" s="35">
        <f>IF(AND(ISNUMBER(J14),ISNUMBER(K14)),IF(AND(J14&gt;=0,J14&lt;=1,K14&gt;=0,K14&lt;=1),1,0),0)</f>
        <v/>
      </c>
      <c r="M14" s="30">
        <f>IF(L14=1,J14,0)</f>
        <v/>
      </c>
      <c r="N14" s="30">
        <f>IF(L14=1,K14,0)</f>
        <v/>
      </c>
      <c r="P14" s="49">
        <f>IF(TMA!A29="","",TMA!A29)</f>
        <v/>
      </c>
      <c r="Q14" s="42">
        <f>TMA!R29</f>
        <v/>
      </c>
      <c r="R14" s="19">
        <f>IF(P14="","",IFERROR(INDEX(DSC!$H$23:$H$42,MATCH(P14,DSC!$A$23:$A$42,0)),""))</f>
        <v/>
      </c>
      <c r="S14" s="35">
        <f>IF(AND(ISNUMBER(Q14),ISNUMBER(R14)),IF(AND(Q14&gt;=0,Q14&lt;=1,R14&gt;=0,R14&lt;=1),1,0),0)</f>
        <v/>
      </c>
      <c r="T14" s="30">
        <f>IF(S14=1,Q14,0)</f>
        <v/>
      </c>
      <c r="U14" s="30">
        <f>IF(S14=1,R14,0)</f>
        <v/>
      </c>
      <c r="W14" s="30" t="n">
        <v>0.095</v>
      </c>
      <c r="X14" s="45">
        <f>SUMPRODUCT($E$5:$E$24,($F$5:$F$24/(W14+$F$5:$F$24*(1-W14))-$G$5:$G$24)^2)</f>
        <v/>
      </c>
      <c r="Y14" s="45">
        <f>SUMPRODUCT($L$5:$L$24,($M$5:$M$24/(W14+$M$5:$M$24*(1-W14))-$N$5:$N$24)^2)</f>
        <v/>
      </c>
      <c r="Z14" s="45">
        <f>SUMPRODUCT($S$5:$S$24,($T$5:$T$24/(W14+$T$5:$T$24*(1-W14))-$U$5:$U$24)^2)</f>
        <v/>
      </c>
      <c r="AB14" s="23" t="inlineStr">
        <is>
          <t>Fit check</t>
        </is>
      </c>
      <c r="AC14" s="21">
        <f>IF(OR(AC6=0.05,AC6=1.5,AC9=0.05,AC9=1.5,AC12=0.05,AC12=1.5),"A fit sits at the grid edge — the data do not constrain λ; check Tg0/Tg∞","OK")</f>
        <v/>
      </c>
    </row>
    <row r="15">
      <c r="A15" s="35" t="n">
        <v>33</v>
      </c>
      <c r="B15" s="49">
        <f>IF(DSC!A33="","",DSC!A33)</f>
        <v/>
      </c>
      <c r="C15" s="42">
        <f>DSC!J33</f>
        <v/>
      </c>
      <c r="D15" s="19">
        <f>DSC!H33</f>
        <v/>
      </c>
      <c r="E15" s="35">
        <f>IF(AND(ISNUMBER(C15),ISNUMBER(D15)),IF(AND(C15&gt;=0,C15&lt;=1,D15&gt;=0,D15&lt;=1),1,0),0)</f>
        <v/>
      </c>
      <c r="F15" s="30">
        <f>IF(E15=1,C15,0)</f>
        <v/>
      </c>
      <c r="G15" s="30">
        <f>IF(E15=1,D15,0)</f>
        <v/>
      </c>
      <c r="I15" s="49">
        <f>IF(DMA!A28="","",DMA!A28)</f>
        <v/>
      </c>
      <c r="J15" s="42">
        <f>IF(DMA!F28="","",(DMA!F28-DMA!$B$13)/(DMA!$B$14-DMA!$B$13))</f>
        <v/>
      </c>
      <c r="K15" s="19">
        <f>IF(I15="","",IFERROR(INDEX(DSC!$H$23:$H$42,MATCH(I15,DSC!$A$23:$A$42,0)),""))</f>
        <v/>
      </c>
      <c r="L15" s="35">
        <f>IF(AND(ISNUMBER(J15),ISNUMBER(K15)),IF(AND(J15&gt;=0,J15&lt;=1,K15&gt;=0,K15&lt;=1),1,0),0)</f>
        <v/>
      </c>
      <c r="M15" s="30">
        <f>IF(L15=1,J15,0)</f>
        <v/>
      </c>
      <c r="N15" s="30">
        <f>IF(L15=1,K15,0)</f>
        <v/>
      </c>
      <c r="P15" s="49">
        <f>IF(TMA!A30="","",TMA!A30)</f>
        <v/>
      </c>
      <c r="Q15" s="42">
        <f>TMA!R30</f>
        <v/>
      </c>
      <c r="R15" s="19">
        <f>IF(P15="","",IFERROR(INDEX(DSC!$H$23:$H$42,MATCH(P15,DSC!$A$23:$A$42,0)),""))</f>
        <v/>
      </c>
      <c r="S15" s="35">
        <f>IF(AND(ISNUMBER(Q15),ISNUMBER(R15)),IF(AND(Q15&gt;=0,Q15&lt;=1,R15&gt;=0,R15&lt;=1),1,0),0)</f>
        <v/>
      </c>
      <c r="T15" s="30">
        <f>IF(S15=1,Q15,0)</f>
        <v/>
      </c>
      <c r="U15" s="30">
        <f>IF(S15=1,R15,0)</f>
        <v/>
      </c>
      <c r="W15" s="30" t="n">
        <v>0.1</v>
      </c>
      <c r="X15" s="45">
        <f>SUMPRODUCT($E$5:$E$24,($F$5:$F$24/(W15+$F$5:$F$24*(1-W15))-$G$5:$G$24)^2)</f>
        <v/>
      </c>
      <c r="Y15" s="45">
        <f>SUMPRODUCT($L$5:$L$24,($M$5:$M$24/(W15+$M$5:$M$24*(1-W15))-$N$5:$N$24)^2)</f>
        <v/>
      </c>
      <c r="Z15" s="45">
        <f>SUMPRODUCT($S$5:$S$24,($T$5:$T$24/(W15+$T$5:$T$24*(1-W15))-$U$5:$U$24)^2)</f>
        <v/>
      </c>
    </row>
    <row r="16">
      <c r="A16" s="35" t="n">
        <v>34</v>
      </c>
      <c r="B16" s="49">
        <f>IF(DSC!A34="","",DSC!A34)</f>
        <v/>
      </c>
      <c r="C16" s="42">
        <f>DSC!J34</f>
        <v/>
      </c>
      <c r="D16" s="19">
        <f>DSC!H34</f>
        <v/>
      </c>
      <c r="E16" s="35">
        <f>IF(AND(ISNUMBER(C16),ISNUMBER(D16)),IF(AND(C16&gt;=0,C16&lt;=1,D16&gt;=0,D16&lt;=1),1,0),0)</f>
        <v/>
      </c>
      <c r="F16" s="30">
        <f>IF(E16=1,C16,0)</f>
        <v/>
      </c>
      <c r="G16" s="30">
        <f>IF(E16=1,D16,0)</f>
        <v/>
      </c>
      <c r="I16" s="49">
        <f>IF(DMA!A29="","",DMA!A29)</f>
        <v/>
      </c>
      <c r="J16" s="42">
        <f>IF(DMA!F29="","",(DMA!F29-DMA!$B$13)/(DMA!$B$14-DMA!$B$13))</f>
        <v/>
      </c>
      <c r="K16" s="19">
        <f>IF(I16="","",IFERROR(INDEX(DSC!$H$23:$H$42,MATCH(I16,DSC!$A$23:$A$42,0)),""))</f>
        <v/>
      </c>
      <c r="L16" s="35">
        <f>IF(AND(ISNUMBER(J16),ISNUMBER(K16)),IF(AND(J16&gt;=0,J16&lt;=1,K16&gt;=0,K16&lt;=1),1,0),0)</f>
        <v/>
      </c>
      <c r="M16" s="30">
        <f>IF(L16=1,J16,0)</f>
        <v/>
      </c>
      <c r="N16" s="30">
        <f>IF(L16=1,K16,0)</f>
        <v/>
      </c>
      <c r="P16" s="49">
        <f>IF(TMA!A31="","",TMA!A31)</f>
        <v/>
      </c>
      <c r="Q16" s="42">
        <f>TMA!R31</f>
        <v/>
      </c>
      <c r="R16" s="19">
        <f>IF(P16="","",IFERROR(INDEX(DSC!$H$23:$H$42,MATCH(P16,DSC!$A$23:$A$42,0)),""))</f>
        <v/>
      </c>
      <c r="S16" s="35">
        <f>IF(AND(ISNUMBER(Q16),ISNUMBER(R16)),IF(AND(Q16&gt;=0,Q16&lt;=1,R16&gt;=0,R16&lt;=1),1,0),0)</f>
        <v/>
      </c>
      <c r="T16" s="30">
        <f>IF(S16=1,Q16,0)</f>
        <v/>
      </c>
      <c r="U16" s="30">
        <f>IF(S16=1,R16,0)</f>
        <v/>
      </c>
      <c r="W16" s="30" t="n">
        <v>0.105</v>
      </c>
      <c r="X16" s="45">
        <f>SUMPRODUCT($E$5:$E$24,($F$5:$F$24/(W16+$F$5:$F$24*(1-W16))-$G$5:$G$24)^2)</f>
        <v/>
      </c>
      <c r="Y16" s="45">
        <f>SUMPRODUCT($L$5:$L$24,($M$5:$M$24/(W16+$M$5:$M$24*(1-W16))-$N$5:$N$24)^2)</f>
        <v/>
      </c>
      <c r="Z16" s="45">
        <f>SUMPRODUCT($S$5:$S$24,($T$5:$T$24/(W16+$T$5:$T$24*(1-W16))-$U$5:$U$24)^2)</f>
        <v/>
      </c>
    </row>
    <row r="17">
      <c r="A17" s="35" t="n">
        <v>35</v>
      </c>
      <c r="B17" s="49">
        <f>IF(DSC!A35="","",DSC!A35)</f>
        <v/>
      </c>
      <c r="C17" s="42">
        <f>DSC!J35</f>
        <v/>
      </c>
      <c r="D17" s="19">
        <f>DSC!H35</f>
        <v/>
      </c>
      <c r="E17" s="35">
        <f>IF(AND(ISNUMBER(C17),ISNUMBER(D17)),IF(AND(C17&gt;=0,C17&lt;=1,D17&gt;=0,D17&lt;=1),1,0),0)</f>
        <v/>
      </c>
      <c r="F17" s="30">
        <f>IF(E17=1,C17,0)</f>
        <v/>
      </c>
      <c r="G17" s="30">
        <f>IF(E17=1,D17,0)</f>
        <v/>
      </c>
      <c r="I17" s="49">
        <f>IF(DMA!A30="","",DMA!A30)</f>
        <v/>
      </c>
      <c r="J17" s="42">
        <f>IF(DMA!F30="","",(DMA!F30-DMA!$B$13)/(DMA!$B$14-DMA!$B$13))</f>
        <v/>
      </c>
      <c r="K17" s="19">
        <f>IF(I17="","",IFERROR(INDEX(DSC!$H$23:$H$42,MATCH(I17,DSC!$A$23:$A$42,0)),""))</f>
        <v/>
      </c>
      <c r="L17" s="35">
        <f>IF(AND(ISNUMBER(J17),ISNUMBER(K17)),IF(AND(J17&gt;=0,J17&lt;=1,K17&gt;=0,K17&lt;=1),1,0),0)</f>
        <v/>
      </c>
      <c r="M17" s="30">
        <f>IF(L17=1,J17,0)</f>
        <v/>
      </c>
      <c r="N17" s="30">
        <f>IF(L17=1,K17,0)</f>
        <v/>
      </c>
      <c r="P17" s="49">
        <f>IF(TMA!A32="","",TMA!A32)</f>
        <v/>
      </c>
      <c r="Q17" s="42">
        <f>TMA!R32</f>
        <v/>
      </c>
      <c r="R17" s="19">
        <f>IF(P17="","",IFERROR(INDEX(DSC!$H$23:$H$42,MATCH(P17,DSC!$A$23:$A$42,0)),""))</f>
        <v/>
      </c>
      <c r="S17" s="35">
        <f>IF(AND(ISNUMBER(Q17),ISNUMBER(R17)),IF(AND(Q17&gt;=0,Q17&lt;=1,R17&gt;=0,R17&lt;=1),1,0),0)</f>
        <v/>
      </c>
      <c r="T17" s="30">
        <f>IF(S17=1,Q17,0)</f>
        <v/>
      </c>
      <c r="U17" s="30">
        <f>IF(S17=1,R17,0)</f>
        <v/>
      </c>
      <c r="W17" s="30" t="n">
        <v>0.11</v>
      </c>
      <c r="X17" s="45">
        <f>SUMPRODUCT($E$5:$E$24,($F$5:$F$24/(W17+$F$5:$F$24*(1-W17))-$G$5:$G$24)^2)</f>
        <v/>
      </c>
      <c r="Y17" s="45">
        <f>SUMPRODUCT($L$5:$L$24,($M$5:$M$24/(W17+$M$5:$M$24*(1-W17))-$N$5:$N$24)^2)</f>
        <v/>
      </c>
      <c r="Z17" s="45">
        <f>SUMPRODUCT($S$5:$S$24,($T$5:$T$24/(W17+$T$5:$T$24*(1-W17))-$U$5:$U$24)^2)</f>
        <v/>
      </c>
      <c r="AB17" s="16" t="inlineStr">
        <is>
          <t>HOW TO USE — Lambda_Fit</t>
        </is>
      </c>
    </row>
    <row r="18">
      <c r="A18" s="35" t="n">
        <v>36</v>
      </c>
      <c r="B18" s="49">
        <f>IF(DSC!A36="","",DSC!A36)</f>
        <v/>
      </c>
      <c r="C18" s="42">
        <f>DSC!J36</f>
        <v/>
      </c>
      <c r="D18" s="19">
        <f>DSC!H36</f>
        <v/>
      </c>
      <c r="E18" s="35">
        <f>IF(AND(ISNUMBER(C18),ISNUMBER(D18)),IF(AND(C18&gt;=0,C18&lt;=1,D18&gt;=0,D18&lt;=1),1,0),0)</f>
        <v/>
      </c>
      <c r="F18" s="30">
        <f>IF(E18=1,C18,0)</f>
        <v/>
      </c>
      <c r="G18" s="30">
        <f>IF(E18=1,D18,0)</f>
        <v/>
      </c>
      <c r="I18" s="49">
        <f>IF(DMA!A31="","",DMA!A31)</f>
        <v/>
      </c>
      <c r="J18" s="42">
        <f>IF(DMA!F31="","",(DMA!F31-DMA!$B$13)/(DMA!$B$14-DMA!$B$13))</f>
        <v/>
      </c>
      <c r="K18" s="19">
        <f>IF(I18="","",IFERROR(INDEX(DSC!$H$23:$H$42,MATCH(I18,DSC!$A$23:$A$42,0)),""))</f>
        <v/>
      </c>
      <c r="L18" s="35">
        <f>IF(AND(ISNUMBER(J18),ISNUMBER(K18)),IF(AND(J18&gt;=0,J18&lt;=1,K18&gt;=0,K18&lt;=1),1,0),0)</f>
        <v/>
      </c>
      <c r="M18" s="30">
        <f>IF(L18=1,J18,0)</f>
        <v/>
      </c>
      <c r="N18" s="30">
        <f>IF(L18=1,K18,0)</f>
        <v/>
      </c>
      <c r="P18" s="49">
        <f>IF(TMA!A33="","",TMA!A33)</f>
        <v/>
      </c>
      <c r="Q18" s="42">
        <f>TMA!R33</f>
        <v/>
      </c>
      <c r="R18" s="19">
        <f>IF(P18="","",IFERROR(INDEX(DSC!$H$23:$H$42,MATCH(P18,DSC!$A$23:$A$42,0)),""))</f>
        <v/>
      </c>
      <c r="S18" s="35">
        <f>IF(AND(ISNUMBER(Q18),ISNUMBER(R18)),IF(AND(Q18&gt;=0,Q18&lt;=1,R18&gt;=0,R18&lt;=1),1,0),0)</f>
        <v/>
      </c>
      <c r="T18" s="30">
        <f>IF(S18=1,Q18,0)</f>
        <v/>
      </c>
      <c r="U18" s="30">
        <f>IF(S18=1,R18,0)</f>
        <v/>
      </c>
      <c r="W18" s="30" t="n">
        <v>0.115</v>
      </c>
      <c r="X18" s="45">
        <f>SUMPRODUCT($E$5:$E$24,($F$5:$F$24/(W18+$F$5:$F$24*(1-W18))-$G$5:$G$24)^2)</f>
        <v/>
      </c>
      <c r="Y18" s="45">
        <f>SUMPRODUCT($L$5:$L$24,($M$5:$M$24/(W18+$M$5:$M$24*(1-W18))-$N$5:$N$24)^2)</f>
        <v/>
      </c>
      <c r="Z18" s="45">
        <f>SUMPRODUCT($S$5:$S$24,($T$5:$T$24/(W18+$T$5:$T$24*(1-W18))-$U$5:$U$24)^2)</f>
        <v/>
      </c>
      <c r="AB18" s="4" t="inlineStr">
        <is>
          <t>↩ Back to the Guide</t>
        </is>
      </c>
    </row>
    <row r="19">
      <c r="A19" s="35" t="n">
        <v>37</v>
      </c>
      <c r="B19" s="49">
        <f>IF(DSC!A37="","",DSC!A37)</f>
        <v/>
      </c>
      <c r="C19" s="42">
        <f>DSC!J37</f>
        <v/>
      </c>
      <c r="D19" s="19">
        <f>DSC!H37</f>
        <v/>
      </c>
      <c r="E19" s="35">
        <f>IF(AND(ISNUMBER(C19),ISNUMBER(D19)),IF(AND(C19&gt;=0,C19&lt;=1,D19&gt;=0,D19&lt;=1),1,0),0)</f>
        <v/>
      </c>
      <c r="F19" s="30">
        <f>IF(E19=1,C19,0)</f>
        <v/>
      </c>
      <c r="G19" s="30">
        <f>IF(E19=1,D19,0)</f>
        <v/>
      </c>
      <c r="I19" s="49">
        <f>IF(DMA!A32="","",DMA!A32)</f>
        <v/>
      </c>
      <c r="J19" s="42">
        <f>IF(DMA!F32="","",(DMA!F32-DMA!$B$13)/(DMA!$B$14-DMA!$B$13))</f>
        <v/>
      </c>
      <c r="K19" s="19">
        <f>IF(I19="","",IFERROR(INDEX(DSC!$H$23:$H$42,MATCH(I19,DSC!$A$23:$A$42,0)),""))</f>
        <v/>
      </c>
      <c r="L19" s="35">
        <f>IF(AND(ISNUMBER(J19),ISNUMBER(K19)),IF(AND(J19&gt;=0,J19&lt;=1,K19&gt;=0,K19&lt;=1),1,0),0)</f>
        <v/>
      </c>
      <c r="M19" s="30">
        <f>IF(L19=1,J19,0)</f>
        <v/>
      </c>
      <c r="N19" s="30">
        <f>IF(L19=1,K19,0)</f>
        <v/>
      </c>
      <c r="P19" s="49">
        <f>IF(TMA!A34="","",TMA!A34)</f>
        <v/>
      </c>
      <c r="Q19" s="42">
        <f>TMA!R34</f>
        <v/>
      </c>
      <c r="R19" s="19">
        <f>IF(P19="","",IFERROR(INDEX(DSC!$H$23:$H$42,MATCH(P19,DSC!$A$23:$A$42,0)),""))</f>
        <v/>
      </c>
      <c r="S19" s="35">
        <f>IF(AND(ISNUMBER(Q19),ISNUMBER(R19)),IF(AND(Q19&gt;=0,Q19&lt;=1,R19&gt;=0,R19&lt;=1),1,0),0)</f>
        <v/>
      </c>
      <c r="T19" s="30">
        <f>IF(S19=1,Q19,0)</f>
        <v/>
      </c>
      <c r="U19" s="30">
        <f>IF(S19=1,R19,0)</f>
        <v/>
      </c>
      <c r="W19" s="30" t="n">
        <v>0.12</v>
      </c>
      <c r="X19" s="45">
        <f>SUMPRODUCT($E$5:$E$24,($F$5:$F$24/(W19+$F$5:$F$24*(1-W19))-$G$5:$G$24)^2)</f>
        <v/>
      </c>
      <c r="Y19" s="45">
        <f>SUMPRODUCT($L$5:$L$24,($M$5:$M$24/(W19+$M$5:$M$24*(1-W19))-$N$5:$N$24)^2)</f>
        <v/>
      </c>
      <c r="Z19" s="45">
        <f>SUMPRODUCT($S$5:$S$24,($T$5:$T$24/(W19+$T$5:$T$24*(1-W19))-$U$5:$U$24)^2)</f>
        <v/>
      </c>
      <c r="AB19" s="5" t="inlineStr">
        <is>
          <t>No inputs. For each λ from 0.050 to 1.500 (step 0.005) the sheet sums (α_Tg − α_heat)² over the</t>
        </is>
      </c>
    </row>
    <row r="20">
      <c r="A20" s="35" t="n">
        <v>38</v>
      </c>
      <c r="B20" s="49">
        <f>IF(DSC!A38="","",DSC!A38)</f>
        <v/>
      </c>
      <c r="C20" s="42">
        <f>DSC!J38</f>
        <v/>
      </c>
      <c r="D20" s="19">
        <f>DSC!H38</f>
        <v/>
      </c>
      <c r="E20" s="35">
        <f>IF(AND(ISNUMBER(C20),ISNUMBER(D20)),IF(AND(C20&gt;=0,C20&lt;=1,D20&gt;=0,D20&lt;=1),1,0),0)</f>
        <v/>
      </c>
      <c r="F20" s="30">
        <f>IF(E20=1,C20,0)</f>
        <v/>
      </c>
      <c r="G20" s="30">
        <f>IF(E20=1,D20,0)</f>
        <v/>
      </c>
      <c r="I20" s="49">
        <f>IF(DMA!A33="","",DMA!A33)</f>
        <v/>
      </c>
      <c r="J20" s="42">
        <f>IF(DMA!F33="","",(DMA!F33-DMA!$B$13)/(DMA!$B$14-DMA!$B$13))</f>
        <v/>
      </c>
      <c r="K20" s="19">
        <f>IF(I20="","",IFERROR(INDEX(DSC!$H$23:$H$42,MATCH(I20,DSC!$A$23:$A$42,0)),""))</f>
        <v/>
      </c>
      <c r="L20" s="35">
        <f>IF(AND(ISNUMBER(J20),ISNUMBER(K20)),IF(AND(J20&gt;=0,J20&lt;=1,K20&gt;=0,K20&lt;=1),1,0),0)</f>
        <v/>
      </c>
      <c r="M20" s="30">
        <f>IF(L20=1,J20,0)</f>
        <v/>
      </c>
      <c r="N20" s="30">
        <f>IF(L20=1,K20,0)</f>
        <v/>
      </c>
      <c r="P20" s="49">
        <f>IF(TMA!A35="","",TMA!A35)</f>
        <v/>
      </c>
      <c r="Q20" s="42">
        <f>TMA!R35</f>
        <v/>
      </c>
      <c r="R20" s="19">
        <f>IF(P20="","",IFERROR(INDEX(DSC!$H$23:$H$42,MATCH(P20,DSC!$A$23:$A$42,0)),""))</f>
        <v/>
      </c>
      <c r="S20" s="35">
        <f>IF(AND(ISNUMBER(Q20),ISNUMBER(R20)),IF(AND(Q20&gt;=0,Q20&lt;=1,R20&gt;=0,R20&lt;=1),1,0),0)</f>
        <v/>
      </c>
      <c r="T20" s="30">
        <f>IF(S20=1,Q20,0)</f>
        <v/>
      </c>
      <c r="U20" s="30">
        <f>IF(S20=1,R20,0)</f>
        <v/>
      </c>
      <c r="W20" s="30" t="n">
        <v>0.125</v>
      </c>
      <c r="X20" s="45">
        <f>SUMPRODUCT($E$5:$E$24,($F$5:$F$24/(W20+$F$5:$F$24*(1-W20))-$G$5:$G$24)^2)</f>
        <v/>
      </c>
      <c r="Y20" s="45">
        <f>SUMPRODUCT($L$5:$L$24,($M$5:$M$24/(W20+$M$5:$M$24*(1-W20))-$N$5:$N$24)^2)</f>
        <v/>
      </c>
      <c r="Z20" s="45">
        <f>SUMPRODUCT($S$5:$S$24,($T$5:$T$24/(W20+$T$5:$T$24*(1-W20))-$U$5:$U$24)^2)</f>
        <v/>
      </c>
      <c r="AB20" s="5" t="inlineStr">
        <is>
          <t>usable points (columns X–Z) and reports the λ with the smallest sum (AC6, AC9, AC12).</t>
        </is>
      </c>
    </row>
    <row r="21">
      <c r="A21" s="35" t="n">
        <v>39</v>
      </c>
      <c r="B21" s="49">
        <f>IF(DSC!A39="","",DSC!A39)</f>
        <v/>
      </c>
      <c r="C21" s="42">
        <f>DSC!J39</f>
        <v/>
      </c>
      <c r="D21" s="19">
        <f>DSC!H39</f>
        <v/>
      </c>
      <c r="E21" s="35">
        <f>IF(AND(ISNUMBER(C21),ISNUMBER(D21)),IF(AND(C21&gt;=0,C21&lt;=1,D21&gt;=0,D21&lt;=1),1,0),0)</f>
        <v/>
      </c>
      <c r="F21" s="30">
        <f>IF(E21=1,C21,0)</f>
        <v/>
      </c>
      <c r="G21" s="30">
        <f>IF(E21=1,D21,0)</f>
        <v/>
      </c>
      <c r="I21" s="49">
        <f>IF(DMA!A34="","",DMA!A34)</f>
        <v/>
      </c>
      <c r="J21" s="42">
        <f>IF(DMA!F34="","",(DMA!F34-DMA!$B$13)/(DMA!$B$14-DMA!$B$13))</f>
        <v/>
      </c>
      <c r="K21" s="19">
        <f>IF(I21="","",IFERROR(INDEX(DSC!$H$23:$H$42,MATCH(I21,DSC!$A$23:$A$42,0)),""))</f>
        <v/>
      </c>
      <c r="L21" s="35">
        <f>IF(AND(ISNUMBER(J21),ISNUMBER(K21)),IF(AND(J21&gt;=0,J21&lt;=1,K21&gt;=0,K21&lt;=1),1,0),0)</f>
        <v/>
      </c>
      <c r="M21" s="30">
        <f>IF(L21=1,J21,0)</f>
        <v/>
      </c>
      <c r="N21" s="30">
        <f>IF(L21=1,K21,0)</f>
        <v/>
      </c>
      <c r="P21" s="49">
        <f>IF(TMA!A36="","",TMA!A36)</f>
        <v/>
      </c>
      <c r="Q21" s="42">
        <f>TMA!R36</f>
        <v/>
      </c>
      <c r="R21" s="19">
        <f>IF(P21="","",IFERROR(INDEX(DSC!$H$23:$H$42,MATCH(P21,DSC!$A$23:$A$42,0)),""))</f>
        <v/>
      </c>
      <c r="S21" s="35">
        <f>IF(AND(ISNUMBER(Q21),ISNUMBER(R21)),IF(AND(Q21&gt;=0,Q21&lt;=1,R21&gt;=0,R21&lt;=1),1,0),0)</f>
        <v/>
      </c>
      <c r="T21" s="30">
        <f>IF(S21=1,Q21,0)</f>
        <v/>
      </c>
      <c r="U21" s="30">
        <f>IF(S21=1,R21,0)</f>
        <v/>
      </c>
      <c r="W21" s="30" t="n">
        <v>0.13</v>
      </c>
      <c r="X21" s="45">
        <f>SUMPRODUCT($E$5:$E$24,($F$5:$F$24/(W21+$F$5:$F$24*(1-W21))-$G$5:$G$24)^2)</f>
        <v/>
      </c>
      <c r="Y21" s="45">
        <f>SUMPRODUCT($L$5:$L$24,($M$5:$M$24/(W21+$M$5:$M$24*(1-W21))-$N$5:$N$24)^2)</f>
        <v/>
      </c>
      <c r="Z21" s="45">
        <f>SUMPRODUCT($S$5:$S$24,($T$5:$T$24/(W21+$T$5:$T$24*(1-W21))-$U$5:$U$24)^2)</f>
        <v/>
      </c>
      <c r="AB21" s="22" t="inlineStr">
        <is>
          <t>Which points count</t>
        </is>
      </c>
    </row>
    <row r="22">
      <c r="A22" s="35" t="n">
        <v>40</v>
      </c>
      <c r="B22" s="49">
        <f>IF(DSC!A40="","",DSC!A40)</f>
        <v/>
      </c>
      <c r="C22" s="42">
        <f>DSC!J40</f>
        <v/>
      </c>
      <c r="D22" s="19">
        <f>DSC!H40</f>
        <v/>
      </c>
      <c r="E22" s="35">
        <f>IF(AND(ISNUMBER(C22),ISNUMBER(D22)),IF(AND(C22&gt;=0,C22&lt;=1,D22&gt;=0,D22&lt;=1),1,0),0)</f>
        <v/>
      </c>
      <c r="F22" s="30">
        <f>IF(E22=1,C22,0)</f>
        <v/>
      </c>
      <c r="G22" s="30">
        <f>IF(E22=1,D22,0)</f>
        <v/>
      </c>
      <c r="I22" s="49">
        <f>IF(DMA!A35="","",DMA!A35)</f>
        <v/>
      </c>
      <c r="J22" s="42">
        <f>IF(DMA!F35="","",(DMA!F35-DMA!$B$13)/(DMA!$B$14-DMA!$B$13))</f>
        <v/>
      </c>
      <c r="K22" s="19">
        <f>IF(I22="","",IFERROR(INDEX(DSC!$H$23:$H$42,MATCH(I22,DSC!$A$23:$A$42,0)),""))</f>
        <v/>
      </c>
      <c r="L22" s="35">
        <f>IF(AND(ISNUMBER(J22),ISNUMBER(K22)),IF(AND(J22&gt;=0,J22&lt;=1,K22&gt;=0,K22&lt;=1),1,0),0)</f>
        <v/>
      </c>
      <c r="M22" s="30">
        <f>IF(L22=1,J22,0)</f>
        <v/>
      </c>
      <c r="N22" s="30">
        <f>IF(L22=1,K22,0)</f>
        <v/>
      </c>
      <c r="P22" s="49">
        <f>IF(TMA!A37="","",TMA!A37)</f>
        <v/>
      </c>
      <c r="Q22" s="42">
        <f>TMA!R37</f>
        <v/>
      </c>
      <c r="R22" s="19">
        <f>IF(P22="","",IFERROR(INDEX(DSC!$H$23:$H$42,MATCH(P22,DSC!$A$23:$A$42,0)),""))</f>
        <v/>
      </c>
      <c r="S22" s="35">
        <f>IF(AND(ISNUMBER(Q22),ISNUMBER(R22)),IF(AND(Q22&gt;=0,Q22&lt;=1,R22&gt;=0,R22&lt;=1),1,0),0)</f>
        <v/>
      </c>
      <c r="T22" s="30">
        <f>IF(S22=1,Q22,0)</f>
        <v/>
      </c>
      <c r="U22" s="30">
        <f>IF(S22=1,R22,0)</f>
        <v/>
      </c>
      <c r="W22" s="30" t="n">
        <v>0.135</v>
      </c>
      <c r="X22" s="45">
        <f>SUMPRODUCT($E$5:$E$24,($F$5:$F$24/(W22+$F$5:$F$24*(1-W22))-$G$5:$G$24)^2)</f>
        <v/>
      </c>
      <c r="Y22" s="45">
        <f>SUMPRODUCT($L$5:$L$24,($M$5:$M$24/(W22+$M$5:$M$24*(1-W22))-$N$5:$N$24)^2)</f>
        <v/>
      </c>
      <c r="Z22" s="45">
        <f>SUMPRODUCT($S$5:$S$24,($T$5:$T$24/(W22+$T$5:$T$24*(1-W22))-$U$5:$U$24)^2)</f>
        <v/>
      </c>
      <c r="AB22" s="5" t="inlineStr">
        <is>
          <t>DSC: samples with both a residual-heat α and a Tg midpoint, with x and α inside 0–1.</t>
        </is>
      </c>
    </row>
    <row r="23">
      <c r="A23" s="35" t="n">
        <v>41</v>
      </c>
      <c r="B23" s="49">
        <f>IF(DSC!A41="","",DSC!A41)</f>
        <v/>
      </c>
      <c r="C23" s="42">
        <f>DSC!J41</f>
        <v/>
      </c>
      <c r="D23" s="19">
        <f>DSC!H41</f>
        <v/>
      </c>
      <c r="E23" s="35">
        <f>IF(AND(ISNUMBER(C23),ISNUMBER(D23)),IF(AND(C23&gt;=0,C23&lt;=1,D23&gt;=0,D23&lt;=1),1,0),0)</f>
        <v/>
      </c>
      <c r="F23" s="30">
        <f>IF(E23=1,C23,0)</f>
        <v/>
      </c>
      <c r="G23" s="30">
        <f>IF(E23=1,D23,0)</f>
        <v/>
      </c>
      <c r="I23" s="49">
        <f>IF(DMA!A36="","",DMA!A36)</f>
        <v/>
      </c>
      <c r="J23" s="42">
        <f>IF(DMA!F36="","",(DMA!F36-DMA!$B$13)/(DMA!$B$14-DMA!$B$13))</f>
        <v/>
      </c>
      <c r="K23" s="19">
        <f>IF(I23="","",IFERROR(INDEX(DSC!$H$23:$H$42,MATCH(I23,DSC!$A$23:$A$42,0)),""))</f>
        <v/>
      </c>
      <c r="L23" s="35">
        <f>IF(AND(ISNUMBER(J23),ISNUMBER(K23)),IF(AND(J23&gt;=0,J23&lt;=1,K23&gt;=0,K23&lt;=1),1,0),0)</f>
        <v/>
      </c>
      <c r="M23" s="30">
        <f>IF(L23=1,J23,0)</f>
        <v/>
      </c>
      <c r="N23" s="30">
        <f>IF(L23=1,K23,0)</f>
        <v/>
      </c>
      <c r="P23" s="49">
        <f>IF(TMA!A38="","",TMA!A38)</f>
        <v/>
      </c>
      <c r="Q23" s="42">
        <f>TMA!R38</f>
        <v/>
      </c>
      <c r="R23" s="19">
        <f>IF(P23="","",IFERROR(INDEX(DSC!$H$23:$H$42,MATCH(P23,DSC!$A$23:$A$42,0)),""))</f>
        <v/>
      </c>
      <c r="S23" s="35">
        <f>IF(AND(ISNUMBER(Q23),ISNUMBER(R23)),IF(AND(Q23&gt;=0,Q23&lt;=1,R23&gt;=0,R23&lt;=1),1,0),0)</f>
        <v/>
      </c>
      <c r="T23" s="30">
        <f>IF(S23=1,Q23,0)</f>
        <v/>
      </c>
      <c r="U23" s="30">
        <f>IF(S23=1,R23,0)</f>
        <v/>
      </c>
      <c r="W23" s="30" t="n">
        <v>0.14</v>
      </c>
      <c r="X23" s="45">
        <f>SUMPRODUCT($E$5:$E$24,($F$5:$F$24/(W23+$F$5:$F$24*(1-W23))-$G$5:$G$24)^2)</f>
        <v/>
      </c>
      <c r="Y23" s="45">
        <f>SUMPRODUCT($L$5:$L$24,($M$5:$M$24/(W23+$M$5:$M$24*(1-W23))-$N$5:$N$24)^2)</f>
        <v/>
      </c>
      <c r="Z23" s="45">
        <f>SUMPRODUCT($S$5:$S$24,($T$5:$T$24/(W23+$T$5:$T$24*(1-W23))-$U$5:$U$24)^2)</f>
        <v/>
      </c>
      <c r="AB23" s="5" t="inlineStr">
        <is>
          <t>DMA and TMA: samples with a Tg whose sample ID also has a residual-heat α on the DSC sheet.</t>
        </is>
      </c>
    </row>
    <row r="24">
      <c r="A24" s="35" t="n">
        <v>42</v>
      </c>
      <c r="B24" s="49">
        <f>IF(DSC!A42="","",DSC!A42)</f>
        <v/>
      </c>
      <c r="C24" s="42">
        <f>DSC!J42</f>
        <v/>
      </c>
      <c r="D24" s="19">
        <f>DSC!H42</f>
        <v/>
      </c>
      <c r="E24" s="35">
        <f>IF(AND(ISNUMBER(C24),ISNUMBER(D24)),IF(AND(C24&gt;=0,C24&lt;=1,D24&gt;=0,D24&lt;=1),1,0),0)</f>
        <v/>
      </c>
      <c r="F24" s="30">
        <f>IF(E24=1,C24,0)</f>
        <v/>
      </c>
      <c r="G24" s="30">
        <f>IF(E24=1,D24,0)</f>
        <v/>
      </c>
      <c r="I24" s="49">
        <f>IF(DMA!A37="","",DMA!A37)</f>
        <v/>
      </c>
      <c r="J24" s="42">
        <f>IF(DMA!F37="","",(DMA!F37-DMA!$B$13)/(DMA!$B$14-DMA!$B$13))</f>
        <v/>
      </c>
      <c r="K24" s="19">
        <f>IF(I24="","",IFERROR(INDEX(DSC!$H$23:$H$42,MATCH(I24,DSC!$A$23:$A$42,0)),""))</f>
        <v/>
      </c>
      <c r="L24" s="35">
        <f>IF(AND(ISNUMBER(J24),ISNUMBER(K24)),IF(AND(J24&gt;=0,J24&lt;=1,K24&gt;=0,K24&lt;=1),1,0),0)</f>
        <v/>
      </c>
      <c r="M24" s="30">
        <f>IF(L24=1,J24,0)</f>
        <v/>
      </c>
      <c r="N24" s="30">
        <f>IF(L24=1,K24,0)</f>
        <v/>
      </c>
      <c r="P24" s="49">
        <f>IF(TMA!A39="","",TMA!A39)</f>
        <v/>
      </c>
      <c r="Q24" s="42">
        <f>TMA!R39</f>
        <v/>
      </c>
      <c r="R24" s="19">
        <f>IF(P24="","",IFERROR(INDEX(DSC!$H$23:$H$42,MATCH(P24,DSC!$A$23:$A$42,0)),""))</f>
        <v/>
      </c>
      <c r="S24" s="35">
        <f>IF(AND(ISNUMBER(Q24),ISNUMBER(R24)),IF(AND(Q24&gt;=0,Q24&lt;=1,R24&gt;=0,R24&lt;=1),1,0),0)</f>
        <v/>
      </c>
      <c r="T24" s="30">
        <f>IF(S24=1,Q24,0)</f>
        <v/>
      </c>
      <c r="U24" s="30">
        <f>IF(S24=1,R24,0)</f>
        <v/>
      </c>
      <c r="W24" s="30" t="n">
        <v>0.145</v>
      </c>
      <c r="X24" s="45">
        <f>SUMPRODUCT($E$5:$E$24,($F$5:$F$24/(W24+$F$5:$F$24*(1-W24))-$G$5:$G$24)^2)</f>
        <v/>
      </c>
      <c r="Y24" s="45">
        <f>SUMPRODUCT($L$5:$L$24,($M$5:$M$24/(W24+$M$5:$M$24*(1-W24))-$N$5:$N$24)^2)</f>
        <v/>
      </c>
      <c r="Z24" s="45">
        <f>SUMPRODUCT($S$5:$S$24,($T$5:$T$24/(W24+$T$5:$T$24*(1-W24))-$U$5:$U$24)^2)</f>
        <v/>
      </c>
      <c r="AB24" s="22" t="inlineStr">
        <is>
          <t>Reading the result</t>
        </is>
      </c>
    </row>
    <row r="25">
      <c r="W25" s="30" t="n">
        <v>0.15</v>
      </c>
      <c r="X25" s="45">
        <f>SUMPRODUCT($E$5:$E$24,($F$5:$F$24/(W25+$F$5:$F$24*(1-W25))-$G$5:$G$24)^2)</f>
        <v/>
      </c>
      <c r="Y25" s="45">
        <f>SUMPRODUCT($L$5:$L$24,($M$5:$M$24/(W25+$M$5:$M$24*(1-W25))-$N$5:$N$24)^2)</f>
        <v/>
      </c>
      <c r="Z25" s="45">
        <f>SUMPRODUCT($S$5:$S$24,($T$5:$T$24/(W25+$T$5:$T$24*(1-W25))-$U$5:$U$24)^2)</f>
        <v/>
      </c>
      <c r="AB25" s="5" t="inlineStr">
        <is>
          <t>Mid-range conversions decide λ; points near α = 0 or 1 carry almost no information about it.</t>
        </is>
      </c>
    </row>
    <row r="26">
      <c r="W26" s="30" t="n">
        <v>0.155</v>
      </c>
      <c r="X26" s="45">
        <f>SUMPRODUCT($E$5:$E$24,($F$5:$F$24/(W26+$F$5:$F$24*(1-W26))-$G$5:$G$24)^2)</f>
        <v/>
      </c>
      <c r="Y26" s="45">
        <f>SUMPRODUCT($L$5:$L$24,($M$5:$M$24/(W26+$M$5:$M$24*(1-W26))-$N$5:$N$24)^2)</f>
        <v/>
      </c>
      <c r="Z26" s="45">
        <f>SUMPRODUCT($S$5:$S$24,($T$5:$T$24/(W26+$T$5:$T$24*(1-W26))-$U$5:$U$24)^2)</f>
        <v/>
      </c>
      <c r="AB26" s="5" t="inlineStr">
        <is>
          <t>A fit at 0.05 or 1.50 (AC14 warns) means the data do not constrain λ — check Tg0 and Tg∞.</t>
        </is>
      </c>
    </row>
    <row r="27">
      <c r="W27" s="30" t="n">
        <v>0.16</v>
      </c>
      <c r="X27" s="45">
        <f>SUMPRODUCT($E$5:$E$24,($F$5:$F$24/(W27+$F$5:$F$24*(1-W27))-$G$5:$G$24)^2)</f>
        <v/>
      </c>
      <c r="Y27" s="45">
        <f>SUMPRODUCT($L$5:$L$24,($M$5:$M$24/(W27+$M$5:$M$24*(1-W27))-$N$5:$N$24)^2)</f>
        <v/>
      </c>
      <c r="Z27" s="45">
        <f>SUMPRODUCT($S$5:$S$24,($T$5:$T$24/(W27+$T$5:$T$24*(1-W27))-$U$5:$U$24)^2)</f>
        <v/>
      </c>
      <c r="AB27" s="5" t="inlineStr">
        <is>
          <t>An RMS residual well above ~2–3 % α means the Tg–α relation is not single-valued (side reactions,</t>
        </is>
      </c>
    </row>
    <row r="28">
      <c r="W28" s="30" t="n">
        <v>0.165</v>
      </c>
      <c r="X28" s="45">
        <f>SUMPRODUCT($E$5:$E$24,($F$5:$F$24/(W28+$F$5:$F$24*(1-W28))-$G$5:$G$24)^2)</f>
        <v/>
      </c>
      <c r="Y28" s="45">
        <f>SUMPRODUCT($L$5:$L$24,($M$5:$M$24/(W28+$M$5:$M$24*(1-W28))-$N$5:$N$24)^2)</f>
        <v/>
      </c>
      <c r="Z28" s="45">
        <f>SUMPRODUCT($S$5:$S$24,($T$5:$T$24/(W28+$T$5:$T$24*(1-W28))-$U$5:$U$24)^2)</f>
        <v/>
      </c>
      <c r="AB28" s="2" t="inlineStr">
        <is>
          <t xml:space="preserve">     phase separation in segmented PUs) — trust the residual-heat result over the Tg route then.</t>
        </is>
      </c>
    </row>
    <row r="29">
      <c r="W29" s="30" t="n">
        <v>0.17</v>
      </c>
      <c r="X29" s="45">
        <f>SUMPRODUCT($E$5:$E$24,($F$5:$F$24/(W29+$F$5:$F$24*(1-W29))-$G$5:$G$24)^2)</f>
        <v/>
      </c>
      <c r="Y29" s="45">
        <f>SUMPRODUCT($L$5:$L$24,($M$5:$M$24/(W29+$M$5:$M$24*(1-W29))-$N$5:$N$24)^2)</f>
        <v/>
      </c>
      <c r="Z29" s="45">
        <f>SUMPRODUCT($S$5:$S$24,($T$5:$T$24/(W29+$T$5:$T$24*(1-W29))-$U$5:$U$24)^2)</f>
        <v/>
      </c>
    </row>
    <row r="30">
      <c r="W30" s="30" t="n">
        <v>0.175</v>
      </c>
      <c r="X30" s="45">
        <f>SUMPRODUCT($E$5:$E$24,($F$5:$F$24/(W30+$F$5:$F$24*(1-W30))-$G$5:$G$24)^2)</f>
        <v/>
      </c>
      <c r="Y30" s="45">
        <f>SUMPRODUCT($L$5:$L$24,($M$5:$M$24/(W30+$M$5:$M$24*(1-W30))-$N$5:$N$24)^2)</f>
        <v/>
      </c>
      <c r="Z30" s="45">
        <f>SUMPRODUCT($S$5:$S$24,($T$5:$T$24/(W30+$T$5:$T$24*(1-W30))-$U$5:$U$24)^2)</f>
        <v/>
      </c>
    </row>
    <row r="31">
      <c r="W31" s="30" t="n">
        <v>0.18</v>
      </c>
      <c r="X31" s="45">
        <f>SUMPRODUCT($E$5:$E$24,($F$5:$F$24/(W31+$F$5:$F$24*(1-W31))-$G$5:$G$24)^2)</f>
        <v/>
      </c>
      <c r="Y31" s="45">
        <f>SUMPRODUCT($L$5:$L$24,($M$5:$M$24/(W31+$M$5:$M$24*(1-W31))-$N$5:$N$24)^2)</f>
        <v/>
      </c>
      <c r="Z31" s="45">
        <f>SUMPRODUCT($S$5:$S$24,($T$5:$T$24/(W31+$T$5:$T$24*(1-W31))-$U$5:$U$24)^2)</f>
        <v/>
      </c>
    </row>
    <row r="32">
      <c r="W32" s="30" t="n">
        <v>0.185</v>
      </c>
      <c r="X32" s="45">
        <f>SUMPRODUCT($E$5:$E$24,($F$5:$F$24/(W32+$F$5:$F$24*(1-W32))-$G$5:$G$24)^2)</f>
        <v/>
      </c>
      <c r="Y32" s="45">
        <f>SUMPRODUCT($L$5:$L$24,($M$5:$M$24/(W32+$M$5:$M$24*(1-W32))-$N$5:$N$24)^2)</f>
        <v/>
      </c>
      <c r="Z32" s="45">
        <f>SUMPRODUCT($S$5:$S$24,($T$5:$T$24/(W32+$T$5:$T$24*(1-W32))-$U$5:$U$24)^2)</f>
        <v/>
      </c>
    </row>
    <row r="33">
      <c r="W33" s="30" t="n">
        <v>0.19</v>
      </c>
      <c r="X33" s="45">
        <f>SUMPRODUCT($E$5:$E$24,($F$5:$F$24/(W33+$F$5:$F$24*(1-W33))-$G$5:$G$24)^2)</f>
        <v/>
      </c>
      <c r="Y33" s="45">
        <f>SUMPRODUCT($L$5:$L$24,($M$5:$M$24/(W33+$M$5:$M$24*(1-W33))-$N$5:$N$24)^2)</f>
        <v/>
      </c>
      <c r="Z33" s="45">
        <f>SUMPRODUCT($S$5:$S$24,($T$5:$T$24/(W33+$T$5:$T$24*(1-W33))-$U$5:$U$24)^2)</f>
        <v/>
      </c>
    </row>
    <row r="34">
      <c r="W34" s="30" t="n">
        <v>0.195</v>
      </c>
      <c r="X34" s="45">
        <f>SUMPRODUCT($E$5:$E$24,($F$5:$F$24/(W34+$F$5:$F$24*(1-W34))-$G$5:$G$24)^2)</f>
        <v/>
      </c>
      <c r="Y34" s="45">
        <f>SUMPRODUCT($L$5:$L$24,($M$5:$M$24/(W34+$M$5:$M$24*(1-W34))-$N$5:$N$24)^2)</f>
        <v/>
      </c>
      <c r="Z34" s="45">
        <f>SUMPRODUCT($S$5:$S$24,($T$5:$T$24/(W34+$T$5:$T$24*(1-W34))-$U$5:$U$24)^2)</f>
        <v/>
      </c>
    </row>
    <row r="35">
      <c r="W35" s="30" t="n">
        <v>0.2</v>
      </c>
      <c r="X35" s="45">
        <f>SUMPRODUCT($E$5:$E$24,($F$5:$F$24/(W35+$F$5:$F$24*(1-W35))-$G$5:$G$24)^2)</f>
        <v/>
      </c>
      <c r="Y35" s="45">
        <f>SUMPRODUCT($L$5:$L$24,($M$5:$M$24/(W35+$M$5:$M$24*(1-W35))-$N$5:$N$24)^2)</f>
        <v/>
      </c>
      <c r="Z35" s="45">
        <f>SUMPRODUCT($S$5:$S$24,($T$5:$T$24/(W35+$T$5:$T$24*(1-W35))-$U$5:$U$24)^2)</f>
        <v/>
      </c>
    </row>
    <row r="36">
      <c r="W36" s="30" t="n">
        <v>0.205</v>
      </c>
      <c r="X36" s="45">
        <f>SUMPRODUCT($E$5:$E$24,($F$5:$F$24/(W36+$F$5:$F$24*(1-W36))-$G$5:$G$24)^2)</f>
        <v/>
      </c>
      <c r="Y36" s="45">
        <f>SUMPRODUCT($L$5:$L$24,($M$5:$M$24/(W36+$M$5:$M$24*(1-W36))-$N$5:$N$24)^2)</f>
        <v/>
      </c>
      <c r="Z36" s="45">
        <f>SUMPRODUCT($S$5:$S$24,($T$5:$T$24/(W36+$T$5:$T$24*(1-W36))-$U$5:$U$24)^2)</f>
        <v/>
      </c>
    </row>
    <row r="37">
      <c r="W37" s="30" t="n">
        <v>0.21</v>
      </c>
      <c r="X37" s="45">
        <f>SUMPRODUCT($E$5:$E$24,($F$5:$F$24/(W37+$F$5:$F$24*(1-W37))-$G$5:$G$24)^2)</f>
        <v/>
      </c>
      <c r="Y37" s="45">
        <f>SUMPRODUCT($L$5:$L$24,($M$5:$M$24/(W37+$M$5:$M$24*(1-W37))-$N$5:$N$24)^2)</f>
        <v/>
      </c>
      <c r="Z37" s="45">
        <f>SUMPRODUCT($S$5:$S$24,($T$5:$T$24/(W37+$T$5:$T$24*(1-W37))-$U$5:$U$24)^2)</f>
        <v/>
      </c>
    </row>
    <row r="38">
      <c r="W38" s="30" t="n">
        <v>0.215</v>
      </c>
      <c r="X38" s="45">
        <f>SUMPRODUCT($E$5:$E$24,($F$5:$F$24/(W38+$F$5:$F$24*(1-W38))-$G$5:$G$24)^2)</f>
        <v/>
      </c>
      <c r="Y38" s="45">
        <f>SUMPRODUCT($L$5:$L$24,($M$5:$M$24/(W38+$M$5:$M$24*(1-W38))-$N$5:$N$24)^2)</f>
        <v/>
      </c>
      <c r="Z38" s="45">
        <f>SUMPRODUCT($S$5:$S$24,($T$5:$T$24/(W38+$T$5:$T$24*(1-W38))-$U$5:$U$24)^2)</f>
        <v/>
      </c>
    </row>
    <row r="39">
      <c r="W39" s="30" t="n">
        <v>0.22</v>
      </c>
      <c r="X39" s="45">
        <f>SUMPRODUCT($E$5:$E$24,($F$5:$F$24/(W39+$F$5:$F$24*(1-W39))-$G$5:$G$24)^2)</f>
        <v/>
      </c>
      <c r="Y39" s="45">
        <f>SUMPRODUCT($L$5:$L$24,($M$5:$M$24/(W39+$M$5:$M$24*(1-W39))-$N$5:$N$24)^2)</f>
        <v/>
      </c>
      <c r="Z39" s="45">
        <f>SUMPRODUCT($S$5:$S$24,($T$5:$T$24/(W39+$T$5:$T$24*(1-W39))-$U$5:$U$24)^2)</f>
        <v/>
      </c>
    </row>
    <row r="40">
      <c r="W40" s="30" t="n">
        <v>0.225</v>
      </c>
      <c r="X40" s="45">
        <f>SUMPRODUCT($E$5:$E$24,($F$5:$F$24/(W40+$F$5:$F$24*(1-W40))-$G$5:$G$24)^2)</f>
        <v/>
      </c>
      <c r="Y40" s="45">
        <f>SUMPRODUCT($L$5:$L$24,($M$5:$M$24/(W40+$M$5:$M$24*(1-W40))-$N$5:$N$24)^2)</f>
        <v/>
      </c>
      <c r="Z40" s="45">
        <f>SUMPRODUCT($S$5:$S$24,($T$5:$T$24/(W40+$T$5:$T$24*(1-W40))-$U$5:$U$24)^2)</f>
        <v/>
      </c>
    </row>
    <row r="41">
      <c r="W41" s="30" t="n">
        <v>0.23</v>
      </c>
      <c r="X41" s="45">
        <f>SUMPRODUCT($E$5:$E$24,($F$5:$F$24/(W41+$F$5:$F$24*(1-W41))-$G$5:$G$24)^2)</f>
        <v/>
      </c>
      <c r="Y41" s="45">
        <f>SUMPRODUCT($L$5:$L$24,($M$5:$M$24/(W41+$M$5:$M$24*(1-W41))-$N$5:$N$24)^2)</f>
        <v/>
      </c>
      <c r="Z41" s="45">
        <f>SUMPRODUCT($S$5:$S$24,($T$5:$T$24/(W41+$T$5:$T$24*(1-W41))-$U$5:$U$24)^2)</f>
        <v/>
      </c>
    </row>
    <row r="42">
      <c r="W42" s="30" t="n">
        <v>0.235</v>
      </c>
      <c r="X42" s="45">
        <f>SUMPRODUCT($E$5:$E$24,($F$5:$F$24/(W42+$F$5:$F$24*(1-W42))-$G$5:$G$24)^2)</f>
        <v/>
      </c>
      <c r="Y42" s="45">
        <f>SUMPRODUCT($L$5:$L$24,($M$5:$M$24/(W42+$M$5:$M$24*(1-W42))-$N$5:$N$24)^2)</f>
        <v/>
      </c>
      <c r="Z42" s="45">
        <f>SUMPRODUCT($S$5:$S$24,($T$5:$T$24/(W42+$T$5:$T$24*(1-W42))-$U$5:$U$24)^2)</f>
        <v/>
      </c>
    </row>
    <row r="43">
      <c r="W43" s="30" t="n">
        <v>0.24</v>
      </c>
      <c r="X43" s="45">
        <f>SUMPRODUCT($E$5:$E$24,($F$5:$F$24/(W43+$F$5:$F$24*(1-W43))-$G$5:$G$24)^2)</f>
        <v/>
      </c>
      <c r="Y43" s="45">
        <f>SUMPRODUCT($L$5:$L$24,($M$5:$M$24/(W43+$M$5:$M$24*(1-W43))-$N$5:$N$24)^2)</f>
        <v/>
      </c>
      <c r="Z43" s="45">
        <f>SUMPRODUCT($S$5:$S$24,($T$5:$T$24/(W43+$T$5:$T$24*(1-W43))-$U$5:$U$24)^2)</f>
        <v/>
      </c>
    </row>
    <row r="44">
      <c r="W44" s="30" t="n">
        <v>0.245</v>
      </c>
      <c r="X44" s="45">
        <f>SUMPRODUCT($E$5:$E$24,($F$5:$F$24/(W44+$F$5:$F$24*(1-W44))-$G$5:$G$24)^2)</f>
        <v/>
      </c>
      <c r="Y44" s="45">
        <f>SUMPRODUCT($L$5:$L$24,($M$5:$M$24/(W44+$M$5:$M$24*(1-W44))-$N$5:$N$24)^2)</f>
        <v/>
      </c>
      <c r="Z44" s="45">
        <f>SUMPRODUCT($S$5:$S$24,($T$5:$T$24/(W44+$T$5:$T$24*(1-W44))-$U$5:$U$24)^2)</f>
        <v/>
      </c>
    </row>
    <row r="45">
      <c r="W45" s="30" t="n">
        <v>0.25</v>
      </c>
      <c r="X45" s="45">
        <f>SUMPRODUCT($E$5:$E$24,($F$5:$F$24/(W45+$F$5:$F$24*(1-W45))-$G$5:$G$24)^2)</f>
        <v/>
      </c>
      <c r="Y45" s="45">
        <f>SUMPRODUCT($L$5:$L$24,($M$5:$M$24/(W45+$M$5:$M$24*(1-W45))-$N$5:$N$24)^2)</f>
        <v/>
      </c>
      <c r="Z45" s="45">
        <f>SUMPRODUCT($S$5:$S$24,($T$5:$T$24/(W45+$T$5:$T$24*(1-W45))-$U$5:$U$24)^2)</f>
        <v/>
      </c>
    </row>
    <row r="46">
      <c r="W46" s="30" t="n">
        <v>0.255</v>
      </c>
      <c r="X46" s="45">
        <f>SUMPRODUCT($E$5:$E$24,($F$5:$F$24/(W46+$F$5:$F$24*(1-W46))-$G$5:$G$24)^2)</f>
        <v/>
      </c>
      <c r="Y46" s="45">
        <f>SUMPRODUCT($L$5:$L$24,($M$5:$M$24/(W46+$M$5:$M$24*(1-W46))-$N$5:$N$24)^2)</f>
        <v/>
      </c>
      <c r="Z46" s="45">
        <f>SUMPRODUCT($S$5:$S$24,($T$5:$T$24/(W46+$T$5:$T$24*(1-W46))-$U$5:$U$24)^2)</f>
        <v/>
      </c>
    </row>
    <row r="47">
      <c r="W47" s="30" t="n">
        <v>0.26</v>
      </c>
      <c r="X47" s="45">
        <f>SUMPRODUCT($E$5:$E$24,($F$5:$F$24/(W47+$F$5:$F$24*(1-W47))-$G$5:$G$24)^2)</f>
        <v/>
      </c>
      <c r="Y47" s="45">
        <f>SUMPRODUCT($L$5:$L$24,($M$5:$M$24/(W47+$M$5:$M$24*(1-W47))-$N$5:$N$24)^2)</f>
        <v/>
      </c>
      <c r="Z47" s="45">
        <f>SUMPRODUCT($S$5:$S$24,($T$5:$T$24/(W47+$T$5:$T$24*(1-W47))-$U$5:$U$24)^2)</f>
        <v/>
      </c>
    </row>
    <row r="48">
      <c r="W48" s="30" t="n">
        <v>0.265</v>
      </c>
      <c r="X48" s="45">
        <f>SUMPRODUCT($E$5:$E$24,($F$5:$F$24/(W48+$F$5:$F$24*(1-W48))-$G$5:$G$24)^2)</f>
        <v/>
      </c>
      <c r="Y48" s="45">
        <f>SUMPRODUCT($L$5:$L$24,($M$5:$M$24/(W48+$M$5:$M$24*(1-W48))-$N$5:$N$24)^2)</f>
        <v/>
      </c>
      <c r="Z48" s="45">
        <f>SUMPRODUCT($S$5:$S$24,($T$5:$T$24/(W48+$T$5:$T$24*(1-W48))-$U$5:$U$24)^2)</f>
        <v/>
      </c>
    </row>
    <row r="49">
      <c r="W49" s="30" t="n">
        <v>0.27</v>
      </c>
      <c r="X49" s="45">
        <f>SUMPRODUCT($E$5:$E$24,($F$5:$F$24/(W49+$F$5:$F$24*(1-W49))-$G$5:$G$24)^2)</f>
        <v/>
      </c>
      <c r="Y49" s="45">
        <f>SUMPRODUCT($L$5:$L$24,($M$5:$M$24/(W49+$M$5:$M$24*(1-W49))-$N$5:$N$24)^2)</f>
        <v/>
      </c>
      <c r="Z49" s="45">
        <f>SUMPRODUCT($S$5:$S$24,($T$5:$T$24/(W49+$T$5:$T$24*(1-W49))-$U$5:$U$24)^2)</f>
        <v/>
      </c>
    </row>
    <row r="50">
      <c r="W50" s="30" t="n">
        <v>0.275</v>
      </c>
      <c r="X50" s="45">
        <f>SUMPRODUCT($E$5:$E$24,($F$5:$F$24/(W50+$F$5:$F$24*(1-W50))-$G$5:$G$24)^2)</f>
        <v/>
      </c>
      <c r="Y50" s="45">
        <f>SUMPRODUCT($L$5:$L$24,($M$5:$M$24/(W50+$M$5:$M$24*(1-W50))-$N$5:$N$24)^2)</f>
        <v/>
      </c>
      <c r="Z50" s="45">
        <f>SUMPRODUCT($S$5:$S$24,($T$5:$T$24/(W50+$T$5:$T$24*(1-W50))-$U$5:$U$24)^2)</f>
        <v/>
      </c>
    </row>
    <row r="51">
      <c r="W51" s="30" t="n">
        <v>0.28</v>
      </c>
      <c r="X51" s="45">
        <f>SUMPRODUCT($E$5:$E$24,($F$5:$F$24/(W51+$F$5:$F$24*(1-W51))-$G$5:$G$24)^2)</f>
        <v/>
      </c>
      <c r="Y51" s="45">
        <f>SUMPRODUCT($L$5:$L$24,($M$5:$M$24/(W51+$M$5:$M$24*(1-W51))-$N$5:$N$24)^2)</f>
        <v/>
      </c>
      <c r="Z51" s="45">
        <f>SUMPRODUCT($S$5:$S$24,($T$5:$T$24/(W51+$T$5:$T$24*(1-W51))-$U$5:$U$24)^2)</f>
        <v/>
      </c>
    </row>
    <row r="52">
      <c r="W52" s="30" t="n">
        <v>0.285</v>
      </c>
      <c r="X52" s="45">
        <f>SUMPRODUCT($E$5:$E$24,($F$5:$F$24/(W52+$F$5:$F$24*(1-W52))-$G$5:$G$24)^2)</f>
        <v/>
      </c>
      <c r="Y52" s="45">
        <f>SUMPRODUCT($L$5:$L$24,($M$5:$M$24/(W52+$M$5:$M$24*(1-W52))-$N$5:$N$24)^2)</f>
        <v/>
      </c>
      <c r="Z52" s="45">
        <f>SUMPRODUCT($S$5:$S$24,($T$5:$T$24/(W52+$T$5:$T$24*(1-W52))-$U$5:$U$24)^2)</f>
        <v/>
      </c>
    </row>
    <row r="53">
      <c r="W53" s="30" t="n">
        <v>0.29</v>
      </c>
      <c r="X53" s="45">
        <f>SUMPRODUCT($E$5:$E$24,($F$5:$F$24/(W53+$F$5:$F$24*(1-W53))-$G$5:$G$24)^2)</f>
        <v/>
      </c>
      <c r="Y53" s="45">
        <f>SUMPRODUCT($L$5:$L$24,($M$5:$M$24/(W53+$M$5:$M$24*(1-W53))-$N$5:$N$24)^2)</f>
        <v/>
      </c>
      <c r="Z53" s="45">
        <f>SUMPRODUCT($S$5:$S$24,($T$5:$T$24/(W53+$T$5:$T$24*(1-W53))-$U$5:$U$24)^2)</f>
        <v/>
      </c>
    </row>
    <row r="54">
      <c r="W54" s="30" t="n">
        <v>0.295</v>
      </c>
      <c r="X54" s="45">
        <f>SUMPRODUCT($E$5:$E$24,($F$5:$F$24/(W54+$F$5:$F$24*(1-W54))-$G$5:$G$24)^2)</f>
        <v/>
      </c>
      <c r="Y54" s="45">
        <f>SUMPRODUCT($L$5:$L$24,($M$5:$M$24/(W54+$M$5:$M$24*(1-W54))-$N$5:$N$24)^2)</f>
        <v/>
      </c>
      <c r="Z54" s="45">
        <f>SUMPRODUCT($S$5:$S$24,($T$5:$T$24/(W54+$T$5:$T$24*(1-W54))-$U$5:$U$24)^2)</f>
        <v/>
      </c>
    </row>
    <row r="55">
      <c r="W55" s="30" t="n">
        <v>0.3</v>
      </c>
      <c r="X55" s="45">
        <f>SUMPRODUCT($E$5:$E$24,($F$5:$F$24/(W55+$F$5:$F$24*(1-W55))-$G$5:$G$24)^2)</f>
        <v/>
      </c>
      <c r="Y55" s="45">
        <f>SUMPRODUCT($L$5:$L$24,($M$5:$M$24/(W55+$M$5:$M$24*(1-W55))-$N$5:$N$24)^2)</f>
        <v/>
      </c>
      <c r="Z55" s="45">
        <f>SUMPRODUCT($S$5:$S$24,($T$5:$T$24/(W55+$T$5:$T$24*(1-W55))-$U$5:$U$24)^2)</f>
        <v/>
      </c>
    </row>
    <row r="56">
      <c r="W56" s="30" t="n">
        <v>0.305</v>
      </c>
      <c r="X56" s="45">
        <f>SUMPRODUCT($E$5:$E$24,($F$5:$F$24/(W56+$F$5:$F$24*(1-W56))-$G$5:$G$24)^2)</f>
        <v/>
      </c>
      <c r="Y56" s="45">
        <f>SUMPRODUCT($L$5:$L$24,($M$5:$M$24/(W56+$M$5:$M$24*(1-W56))-$N$5:$N$24)^2)</f>
        <v/>
      </c>
      <c r="Z56" s="45">
        <f>SUMPRODUCT($S$5:$S$24,($T$5:$T$24/(W56+$T$5:$T$24*(1-W56))-$U$5:$U$24)^2)</f>
        <v/>
      </c>
    </row>
    <row r="57">
      <c r="W57" s="30" t="n">
        <v>0.31</v>
      </c>
      <c r="X57" s="45">
        <f>SUMPRODUCT($E$5:$E$24,($F$5:$F$24/(W57+$F$5:$F$24*(1-W57))-$G$5:$G$24)^2)</f>
        <v/>
      </c>
      <c r="Y57" s="45">
        <f>SUMPRODUCT($L$5:$L$24,($M$5:$M$24/(W57+$M$5:$M$24*(1-W57))-$N$5:$N$24)^2)</f>
        <v/>
      </c>
      <c r="Z57" s="45">
        <f>SUMPRODUCT($S$5:$S$24,($T$5:$T$24/(W57+$T$5:$T$24*(1-W57))-$U$5:$U$24)^2)</f>
        <v/>
      </c>
    </row>
    <row r="58">
      <c r="W58" s="30" t="n">
        <v>0.315</v>
      </c>
      <c r="X58" s="45">
        <f>SUMPRODUCT($E$5:$E$24,($F$5:$F$24/(W58+$F$5:$F$24*(1-W58))-$G$5:$G$24)^2)</f>
        <v/>
      </c>
      <c r="Y58" s="45">
        <f>SUMPRODUCT($L$5:$L$24,($M$5:$M$24/(W58+$M$5:$M$24*(1-W58))-$N$5:$N$24)^2)</f>
        <v/>
      </c>
      <c r="Z58" s="45">
        <f>SUMPRODUCT($S$5:$S$24,($T$5:$T$24/(W58+$T$5:$T$24*(1-W58))-$U$5:$U$24)^2)</f>
        <v/>
      </c>
    </row>
    <row r="59">
      <c r="W59" s="30" t="n">
        <v>0.32</v>
      </c>
      <c r="X59" s="45">
        <f>SUMPRODUCT($E$5:$E$24,($F$5:$F$24/(W59+$F$5:$F$24*(1-W59))-$G$5:$G$24)^2)</f>
        <v/>
      </c>
      <c r="Y59" s="45">
        <f>SUMPRODUCT($L$5:$L$24,($M$5:$M$24/(W59+$M$5:$M$24*(1-W59))-$N$5:$N$24)^2)</f>
        <v/>
      </c>
      <c r="Z59" s="45">
        <f>SUMPRODUCT($S$5:$S$24,($T$5:$T$24/(W59+$T$5:$T$24*(1-W59))-$U$5:$U$24)^2)</f>
        <v/>
      </c>
    </row>
    <row r="60">
      <c r="W60" s="30" t="n">
        <v>0.325</v>
      </c>
      <c r="X60" s="45">
        <f>SUMPRODUCT($E$5:$E$24,($F$5:$F$24/(W60+$F$5:$F$24*(1-W60))-$G$5:$G$24)^2)</f>
        <v/>
      </c>
      <c r="Y60" s="45">
        <f>SUMPRODUCT($L$5:$L$24,($M$5:$M$24/(W60+$M$5:$M$24*(1-W60))-$N$5:$N$24)^2)</f>
        <v/>
      </c>
      <c r="Z60" s="45">
        <f>SUMPRODUCT($S$5:$S$24,($T$5:$T$24/(W60+$T$5:$T$24*(1-W60))-$U$5:$U$24)^2)</f>
        <v/>
      </c>
    </row>
    <row r="61">
      <c r="W61" s="30" t="n">
        <v>0.33</v>
      </c>
      <c r="X61" s="45">
        <f>SUMPRODUCT($E$5:$E$24,($F$5:$F$24/(W61+$F$5:$F$24*(1-W61))-$G$5:$G$24)^2)</f>
        <v/>
      </c>
      <c r="Y61" s="45">
        <f>SUMPRODUCT($L$5:$L$24,($M$5:$M$24/(W61+$M$5:$M$24*(1-W61))-$N$5:$N$24)^2)</f>
        <v/>
      </c>
      <c r="Z61" s="45">
        <f>SUMPRODUCT($S$5:$S$24,($T$5:$T$24/(W61+$T$5:$T$24*(1-W61))-$U$5:$U$24)^2)</f>
        <v/>
      </c>
    </row>
    <row r="62">
      <c r="W62" s="30" t="n">
        <v>0.335</v>
      </c>
      <c r="X62" s="45">
        <f>SUMPRODUCT($E$5:$E$24,($F$5:$F$24/(W62+$F$5:$F$24*(1-W62))-$G$5:$G$24)^2)</f>
        <v/>
      </c>
      <c r="Y62" s="45">
        <f>SUMPRODUCT($L$5:$L$24,($M$5:$M$24/(W62+$M$5:$M$24*(1-W62))-$N$5:$N$24)^2)</f>
        <v/>
      </c>
      <c r="Z62" s="45">
        <f>SUMPRODUCT($S$5:$S$24,($T$5:$T$24/(W62+$T$5:$T$24*(1-W62))-$U$5:$U$24)^2)</f>
        <v/>
      </c>
    </row>
    <row r="63">
      <c r="W63" s="30" t="n">
        <v>0.34</v>
      </c>
      <c r="X63" s="45">
        <f>SUMPRODUCT($E$5:$E$24,($F$5:$F$24/(W63+$F$5:$F$24*(1-W63))-$G$5:$G$24)^2)</f>
        <v/>
      </c>
      <c r="Y63" s="45">
        <f>SUMPRODUCT($L$5:$L$24,($M$5:$M$24/(W63+$M$5:$M$24*(1-W63))-$N$5:$N$24)^2)</f>
        <v/>
      </c>
      <c r="Z63" s="45">
        <f>SUMPRODUCT($S$5:$S$24,($T$5:$T$24/(W63+$T$5:$T$24*(1-W63))-$U$5:$U$24)^2)</f>
        <v/>
      </c>
    </row>
    <row r="64">
      <c r="W64" s="30" t="n">
        <v>0.345</v>
      </c>
      <c r="X64" s="45">
        <f>SUMPRODUCT($E$5:$E$24,($F$5:$F$24/(W64+$F$5:$F$24*(1-W64))-$G$5:$G$24)^2)</f>
        <v/>
      </c>
      <c r="Y64" s="45">
        <f>SUMPRODUCT($L$5:$L$24,($M$5:$M$24/(W64+$M$5:$M$24*(1-W64))-$N$5:$N$24)^2)</f>
        <v/>
      </c>
      <c r="Z64" s="45">
        <f>SUMPRODUCT($S$5:$S$24,($T$5:$T$24/(W64+$T$5:$T$24*(1-W64))-$U$5:$U$24)^2)</f>
        <v/>
      </c>
    </row>
    <row r="65">
      <c r="W65" s="30" t="n">
        <v>0.35</v>
      </c>
      <c r="X65" s="45">
        <f>SUMPRODUCT($E$5:$E$24,($F$5:$F$24/(W65+$F$5:$F$24*(1-W65))-$G$5:$G$24)^2)</f>
        <v/>
      </c>
      <c r="Y65" s="45">
        <f>SUMPRODUCT($L$5:$L$24,($M$5:$M$24/(W65+$M$5:$M$24*(1-W65))-$N$5:$N$24)^2)</f>
        <v/>
      </c>
      <c r="Z65" s="45">
        <f>SUMPRODUCT($S$5:$S$24,($T$5:$T$24/(W65+$T$5:$T$24*(1-W65))-$U$5:$U$24)^2)</f>
        <v/>
      </c>
    </row>
    <row r="66">
      <c r="W66" s="30" t="n">
        <v>0.355</v>
      </c>
      <c r="X66" s="45">
        <f>SUMPRODUCT($E$5:$E$24,($F$5:$F$24/(W66+$F$5:$F$24*(1-W66))-$G$5:$G$24)^2)</f>
        <v/>
      </c>
      <c r="Y66" s="45">
        <f>SUMPRODUCT($L$5:$L$24,($M$5:$M$24/(W66+$M$5:$M$24*(1-W66))-$N$5:$N$24)^2)</f>
        <v/>
      </c>
      <c r="Z66" s="45">
        <f>SUMPRODUCT($S$5:$S$24,($T$5:$T$24/(W66+$T$5:$T$24*(1-W66))-$U$5:$U$24)^2)</f>
        <v/>
      </c>
    </row>
    <row r="67">
      <c r="W67" s="30" t="n">
        <v>0.36</v>
      </c>
      <c r="X67" s="45">
        <f>SUMPRODUCT($E$5:$E$24,($F$5:$F$24/(W67+$F$5:$F$24*(1-W67))-$G$5:$G$24)^2)</f>
        <v/>
      </c>
      <c r="Y67" s="45">
        <f>SUMPRODUCT($L$5:$L$24,($M$5:$M$24/(W67+$M$5:$M$24*(1-W67))-$N$5:$N$24)^2)</f>
        <v/>
      </c>
      <c r="Z67" s="45">
        <f>SUMPRODUCT($S$5:$S$24,($T$5:$T$24/(W67+$T$5:$T$24*(1-W67))-$U$5:$U$24)^2)</f>
        <v/>
      </c>
    </row>
    <row r="68">
      <c r="W68" s="30" t="n">
        <v>0.365</v>
      </c>
      <c r="X68" s="45">
        <f>SUMPRODUCT($E$5:$E$24,($F$5:$F$24/(W68+$F$5:$F$24*(1-W68))-$G$5:$G$24)^2)</f>
        <v/>
      </c>
      <c r="Y68" s="45">
        <f>SUMPRODUCT($L$5:$L$24,($M$5:$M$24/(W68+$M$5:$M$24*(1-W68))-$N$5:$N$24)^2)</f>
        <v/>
      </c>
      <c r="Z68" s="45">
        <f>SUMPRODUCT($S$5:$S$24,($T$5:$T$24/(W68+$T$5:$T$24*(1-W68))-$U$5:$U$24)^2)</f>
        <v/>
      </c>
    </row>
    <row r="69">
      <c r="W69" s="30" t="n">
        <v>0.37</v>
      </c>
      <c r="X69" s="45">
        <f>SUMPRODUCT($E$5:$E$24,($F$5:$F$24/(W69+$F$5:$F$24*(1-W69))-$G$5:$G$24)^2)</f>
        <v/>
      </c>
      <c r="Y69" s="45">
        <f>SUMPRODUCT($L$5:$L$24,($M$5:$M$24/(W69+$M$5:$M$24*(1-W69))-$N$5:$N$24)^2)</f>
        <v/>
      </c>
      <c r="Z69" s="45">
        <f>SUMPRODUCT($S$5:$S$24,($T$5:$T$24/(W69+$T$5:$T$24*(1-W69))-$U$5:$U$24)^2)</f>
        <v/>
      </c>
    </row>
    <row r="70">
      <c r="W70" s="30" t="n">
        <v>0.375</v>
      </c>
      <c r="X70" s="45">
        <f>SUMPRODUCT($E$5:$E$24,($F$5:$F$24/(W70+$F$5:$F$24*(1-W70))-$G$5:$G$24)^2)</f>
        <v/>
      </c>
      <c r="Y70" s="45">
        <f>SUMPRODUCT($L$5:$L$24,($M$5:$M$24/(W70+$M$5:$M$24*(1-W70))-$N$5:$N$24)^2)</f>
        <v/>
      </c>
      <c r="Z70" s="45">
        <f>SUMPRODUCT($S$5:$S$24,($T$5:$T$24/(W70+$T$5:$T$24*(1-W70))-$U$5:$U$24)^2)</f>
        <v/>
      </c>
    </row>
    <row r="71">
      <c r="W71" s="30" t="n">
        <v>0.38</v>
      </c>
      <c r="X71" s="45">
        <f>SUMPRODUCT($E$5:$E$24,($F$5:$F$24/(W71+$F$5:$F$24*(1-W71))-$G$5:$G$24)^2)</f>
        <v/>
      </c>
      <c r="Y71" s="45">
        <f>SUMPRODUCT($L$5:$L$24,($M$5:$M$24/(W71+$M$5:$M$24*(1-W71))-$N$5:$N$24)^2)</f>
        <v/>
      </c>
      <c r="Z71" s="45">
        <f>SUMPRODUCT($S$5:$S$24,($T$5:$T$24/(W71+$T$5:$T$24*(1-W71))-$U$5:$U$24)^2)</f>
        <v/>
      </c>
    </row>
    <row r="72">
      <c r="W72" s="30" t="n">
        <v>0.385</v>
      </c>
      <c r="X72" s="45">
        <f>SUMPRODUCT($E$5:$E$24,($F$5:$F$24/(W72+$F$5:$F$24*(1-W72))-$G$5:$G$24)^2)</f>
        <v/>
      </c>
      <c r="Y72" s="45">
        <f>SUMPRODUCT($L$5:$L$24,($M$5:$M$24/(W72+$M$5:$M$24*(1-W72))-$N$5:$N$24)^2)</f>
        <v/>
      </c>
      <c r="Z72" s="45">
        <f>SUMPRODUCT($S$5:$S$24,($T$5:$T$24/(W72+$T$5:$T$24*(1-W72))-$U$5:$U$24)^2)</f>
        <v/>
      </c>
    </row>
    <row r="73">
      <c r="W73" s="30" t="n">
        <v>0.39</v>
      </c>
      <c r="X73" s="45">
        <f>SUMPRODUCT($E$5:$E$24,($F$5:$F$24/(W73+$F$5:$F$24*(1-W73))-$G$5:$G$24)^2)</f>
        <v/>
      </c>
      <c r="Y73" s="45">
        <f>SUMPRODUCT($L$5:$L$24,($M$5:$M$24/(W73+$M$5:$M$24*(1-W73))-$N$5:$N$24)^2)</f>
        <v/>
      </c>
      <c r="Z73" s="45">
        <f>SUMPRODUCT($S$5:$S$24,($T$5:$T$24/(W73+$T$5:$T$24*(1-W73))-$U$5:$U$24)^2)</f>
        <v/>
      </c>
    </row>
    <row r="74">
      <c r="W74" s="30" t="n">
        <v>0.395</v>
      </c>
      <c r="X74" s="45">
        <f>SUMPRODUCT($E$5:$E$24,($F$5:$F$24/(W74+$F$5:$F$24*(1-W74))-$G$5:$G$24)^2)</f>
        <v/>
      </c>
      <c r="Y74" s="45">
        <f>SUMPRODUCT($L$5:$L$24,($M$5:$M$24/(W74+$M$5:$M$24*(1-W74))-$N$5:$N$24)^2)</f>
        <v/>
      </c>
      <c r="Z74" s="45">
        <f>SUMPRODUCT($S$5:$S$24,($T$5:$T$24/(W74+$T$5:$T$24*(1-W74))-$U$5:$U$24)^2)</f>
        <v/>
      </c>
    </row>
    <row r="75">
      <c r="W75" s="30" t="n">
        <v>0.4</v>
      </c>
      <c r="X75" s="45">
        <f>SUMPRODUCT($E$5:$E$24,($F$5:$F$24/(W75+$F$5:$F$24*(1-W75))-$G$5:$G$24)^2)</f>
        <v/>
      </c>
      <c r="Y75" s="45">
        <f>SUMPRODUCT($L$5:$L$24,($M$5:$M$24/(W75+$M$5:$M$24*(1-W75))-$N$5:$N$24)^2)</f>
        <v/>
      </c>
      <c r="Z75" s="45">
        <f>SUMPRODUCT($S$5:$S$24,($T$5:$T$24/(W75+$T$5:$T$24*(1-W75))-$U$5:$U$24)^2)</f>
        <v/>
      </c>
    </row>
    <row r="76">
      <c r="W76" s="30" t="n">
        <v>0.405</v>
      </c>
      <c r="X76" s="45">
        <f>SUMPRODUCT($E$5:$E$24,($F$5:$F$24/(W76+$F$5:$F$24*(1-W76))-$G$5:$G$24)^2)</f>
        <v/>
      </c>
      <c r="Y76" s="45">
        <f>SUMPRODUCT($L$5:$L$24,($M$5:$M$24/(W76+$M$5:$M$24*(1-W76))-$N$5:$N$24)^2)</f>
        <v/>
      </c>
      <c r="Z76" s="45">
        <f>SUMPRODUCT($S$5:$S$24,($T$5:$T$24/(W76+$T$5:$T$24*(1-W76))-$U$5:$U$24)^2)</f>
        <v/>
      </c>
    </row>
    <row r="77">
      <c r="W77" s="30" t="n">
        <v>0.41</v>
      </c>
      <c r="X77" s="45">
        <f>SUMPRODUCT($E$5:$E$24,($F$5:$F$24/(W77+$F$5:$F$24*(1-W77))-$G$5:$G$24)^2)</f>
        <v/>
      </c>
      <c r="Y77" s="45">
        <f>SUMPRODUCT($L$5:$L$24,($M$5:$M$24/(W77+$M$5:$M$24*(1-W77))-$N$5:$N$24)^2)</f>
        <v/>
      </c>
      <c r="Z77" s="45">
        <f>SUMPRODUCT($S$5:$S$24,($T$5:$T$24/(W77+$T$5:$T$24*(1-W77))-$U$5:$U$24)^2)</f>
        <v/>
      </c>
    </row>
    <row r="78">
      <c r="W78" s="30" t="n">
        <v>0.415</v>
      </c>
      <c r="X78" s="45">
        <f>SUMPRODUCT($E$5:$E$24,($F$5:$F$24/(W78+$F$5:$F$24*(1-W78))-$G$5:$G$24)^2)</f>
        <v/>
      </c>
      <c r="Y78" s="45">
        <f>SUMPRODUCT($L$5:$L$24,($M$5:$M$24/(W78+$M$5:$M$24*(1-W78))-$N$5:$N$24)^2)</f>
        <v/>
      </c>
      <c r="Z78" s="45">
        <f>SUMPRODUCT($S$5:$S$24,($T$5:$T$24/(W78+$T$5:$T$24*(1-W78))-$U$5:$U$24)^2)</f>
        <v/>
      </c>
    </row>
    <row r="79">
      <c r="W79" s="30" t="n">
        <v>0.42</v>
      </c>
      <c r="X79" s="45">
        <f>SUMPRODUCT($E$5:$E$24,($F$5:$F$24/(W79+$F$5:$F$24*(1-W79))-$G$5:$G$24)^2)</f>
        <v/>
      </c>
      <c r="Y79" s="45">
        <f>SUMPRODUCT($L$5:$L$24,($M$5:$M$24/(W79+$M$5:$M$24*(1-W79))-$N$5:$N$24)^2)</f>
        <v/>
      </c>
      <c r="Z79" s="45">
        <f>SUMPRODUCT($S$5:$S$24,($T$5:$T$24/(W79+$T$5:$T$24*(1-W79))-$U$5:$U$24)^2)</f>
        <v/>
      </c>
    </row>
    <row r="80">
      <c r="W80" s="30" t="n">
        <v>0.425</v>
      </c>
      <c r="X80" s="45">
        <f>SUMPRODUCT($E$5:$E$24,($F$5:$F$24/(W80+$F$5:$F$24*(1-W80))-$G$5:$G$24)^2)</f>
        <v/>
      </c>
      <c r="Y80" s="45">
        <f>SUMPRODUCT($L$5:$L$24,($M$5:$M$24/(W80+$M$5:$M$24*(1-W80))-$N$5:$N$24)^2)</f>
        <v/>
      </c>
      <c r="Z80" s="45">
        <f>SUMPRODUCT($S$5:$S$24,($T$5:$T$24/(W80+$T$5:$T$24*(1-W80))-$U$5:$U$24)^2)</f>
        <v/>
      </c>
    </row>
    <row r="81">
      <c r="W81" s="30" t="n">
        <v>0.43</v>
      </c>
      <c r="X81" s="45">
        <f>SUMPRODUCT($E$5:$E$24,($F$5:$F$24/(W81+$F$5:$F$24*(1-W81))-$G$5:$G$24)^2)</f>
        <v/>
      </c>
      <c r="Y81" s="45">
        <f>SUMPRODUCT($L$5:$L$24,($M$5:$M$24/(W81+$M$5:$M$24*(1-W81))-$N$5:$N$24)^2)</f>
        <v/>
      </c>
      <c r="Z81" s="45">
        <f>SUMPRODUCT($S$5:$S$24,($T$5:$T$24/(W81+$T$5:$T$24*(1-W81))-$U$5:$U$24)^2)</f>
        <v/>
      </c>
    </row>
    <row r="82">
      <c r="W82" s="30" t="n">
        <v>0.435</v>
      </c>
      <c r="X82" s="45">
        <f>SUMPRODUCT($E$5:$E$24,($F$5:$F$24/(W82+$F$5:$F$24*(1-W82))-$G$5:$G$24)^2)</f>
        <v/>
      </c>
      <c r="Y82" s="45">
        <f>SUMPRODUCT($L$5:$L$24,($M$5:$M$24/(W82+$M$5:$M$24*(1-W82))-$N$5:$N$24)^2)</f>
        <v/>
      </c>
      <c r="Z82" s="45">
        <f>SUMPRODUCT($S$5:$S$24,($T$5:$T$24/(W82+$T$5:$T$24*(1-W82))-$U$5:$U$24)^2)</f>
        <v/>
      </c>
    </row>
    <row r="83">
      <c r="W83" s="30" t="n">
        <v>0.44</v>
      </c>
      <c r="X83" s="45">
        <f>SUMPRODUCT($E$5:$E$24,($F$5:$F$24/(W83+$F$5:$F$24*(1-W83))-$G$5:$G$24)^2)</f>
        <v/>
      </c>
      <c r="Y83" s="45">
        <f>SUMPRODUCT($L$5:$L$24,($M$5:$M$24/(W83+$M$5:$M$24*(1-W83))-$N$5:$N$24)^2)</f>
        <v/>
      </c>
      <c r="Z83" s="45">
        <f>SUMPRODUCT($S$5:$S$24,($T$5:$T$24/(W83+$T$5:$T$24*(1-W83))-$U$5:$U$24)^2)</f>
        <v/>
      </c>
    </row>
    <row r="84">
      <c r="W84" s="30" t="n">
        <v>0.445</v>
      </c>
      <c r="X84" s="45">
        <f>SUMPRODUCT($E$5:$E$24,($F$5:$F$24/(W84+$F$5:$F$24*(1-W84))-$G$5:$G$24)^2)</f>
        <v/>
      </c>
      <c r="Y84" s="45">
        <f>SUMPRODUCT($L$5:$L$24,($M$5:$M$24/(W84+$M$5:$M$24*(1-W84))-$N$5:$N$24)^2)</f>
        <v/>
      </c>
      <c r="Z84" s="45">
        <f>SUMPRODUCT($S$5:$S$24,($T$5:$T$24/(W84+$T$5:$T$24*(1-W84))-$U$5:$U$24)^2)</f>
        <v/>
      </c>
    </row>
    <row r="85">
      <c r="W85" s="30" t="n">
        <v>0.45</v>
      </c>
      <c r="X85" s="45">
        <f>SUMPRODUCT($E$5:$E$24,($F$5:$F$24/(W85+$F$5:$F$24*(1-W85))-$G$5:$G$24)^2)</f>
        <v/>
      </c>
      <c r="Y85" s="45">
        <f>SUMPRODUCT($L$5:$L$24,($M$5:$M$24/(W85+$M$5:$M$24*(1-W85))-$N$5:$N$24)^2)</f>
        <v/>
      </c>
      <c r="Z85" s="45">
        <f>SUMPRODUCT($S$5:$S$24,($T$5:$T$24/(W85+$T$5:$T$24*(1-W85))-$U$5:$U$24)^2)</f>
        <v/>
      </c>
    </row>
    <row r="86">
      <c r="W86" s="30" t="n">
        <v>0.455</v>
      </c>
      <c r="X86" s="45">
        <f>SUMPRODUCT($E$5:$E$24,($F$5:$F$24/(W86+$F$5:$F$24*(1-W86))-$G$5:$G$24)^2)</f>
        <v/>
      </c>
      <c r="Y86" s="45">
        <f>SUMPRODUCT($L$5:$L$24,($M$5:$M$24/(W86+$M$5:$M$24*(1-W86))-$N$5:$N$24)^2)</f>
        <v/>
      </c>
      <c r="Z86" s="45">
        <f>SUMPRODUCT($S$5:$S$24,($T$5:$T$24/(W86+$T$5:$T$24*(1-W86))-$U$5:$U$24)^2)</f>
        <v/>
      </c>
    </row>
    <row r="87">
      <c r="W87" s="30" t="n">
        <v>0.46</v>
      </c>
      <c r="X87" s="45">
        <f>SUMPRODUCT($E$5:$E$24,($F$5:$F$24/(W87+$F$5:$F$24*(1-W87))-$G$5:$G$24)^2)</f>
        <v/>
      </c>
      <c r="Y87" s="45">
        <f>SUMPRODUCT($L$5:$L$24,($M$5:$M$24/(W87+$M$5:$M$24*(1-W87))-$N$5:$N$24)^2)</f>
        <v/>
      </c>
      <c r="Z87" s="45">
        <f>SUMPRODUCT($S$5:$S$24,($T$5:$T$24/(W87+$T$5:$T$24*(1-W87))-$U$5:$U$24)^2)</f>
        <v/>
      </c>
    </row>
    <row r="88">
      <c r="W88" s="30" t="n">
        <v>0.465</v>
      </c>
      <c r="X88" s="45">
        <f>SUMPRODUCT($E$5:$E$24,($F$5:$F$24/(W88+$F$5:$F$24*(1-W88))-$G$5:$G$24)^2)</f>
        <v/>
      </c>
      <c r="Y88" s="45">
        <f>SUMPRODUCT($L$5:$L$24,($M$5:$M$24/(W88+$M$5:$M$24*(1-W88))-$N$5:$N$24)^2)</f>
        <v/>
      </c>
      <c r="Z88" s="45">
        <f>SUMPRODUCT($S$5:$S$24,($T$5:$T$24/(W88+$T$5:$T$24*(1-W88))-$U$5:$U$24)^2)</f>
        <v/>
      </c>
    </row>
    <row r="89">
      <c r="W89" s="30" t="n">
        <v>0.47</v>
      </c>
      <c r="X89" s="45">
        <f>SUMPRODUCT($E$5:$E$24,($F$5:$F$24/(W89+$F$5:$F$24*(1-W89))-$G$5:$G$24)^2)</f>
        <v/>
      </c>
      <c r="Y89" s="45">
        <f>SUMPRODUCT($L$5:$L$24,($M$5:$M$24/(W89+$M$5:$M$24*(1-W89))-$N$5:$N$24)^2)</f>
        <v/>
      </c>
      <c r="Z89" s="45">
        <f>SUMPRODUCT($S$5:$S$24,($T$5:$T$24/(W89+$T$5:$T$24*(1-W89))-$U$5:$U$24)^2)</f>
        <v/>
      </c>
    </row>
    <row r="90">
      <c r="W90" s="30" t="n">
        <v>0.475</v>
      </c>
      <c r="X90" s="45">
        <f>SUMPRODUCT($E$5:$E$24,($F$5:$F$24/(W90+$F$5:$F$24*(1-W90))-$G$5:$G$24)^2)</f>
        <v/>
      </c>
      <c r="Y90" s="45">
        <f>SUMPRODUCT($L$5:$L$24,($M$5:$M$24/(W90+$M$5:$M$24*(1-W90))-$N$5:$N$24)^2)</f>
        <v/>
      </c>
      <c r="Z90" s="45">
        <f>SUMPRODUCT($S$5:$S$24,($T$5:$T$24/(W90+$T$5:$T$24*(1-W90))-$U$5:$U$24)^2)</f>
        <v/>
      </c>
    </row>
    <row r="91">
      <c r="W91" s="30" t="n">
        <v>0.48</v>
      </c>
      <c r="X91" s="45">
        <f>SUMPRODUCT($E$5:$E$24,($F$5:$F$24/(W91+$F$5:$F$24*(1-W91))-$G$5:$G$24)^2)</f>
        <v/>
      </c>
      <c r="Y91" s="45">
        <f>SUMPRODUCT($L$5:$L$24,($M$5:$M$24/(W91+$M$5:$M$24*(1-W91))-$N$5:$N$24)^2)</f>
        <v/>
      </c>
      <c r="Z91" s="45">
        <f>SUMPRODUCT($S$5:$S$24,($T$5:$T$24/(W91+$T$5:$T$24*(1-W91))-$U$5:$U$24)^2)</f>
        <v/>
      </c>
    </row>
    <row r="92">
      <c r="W92" s="30" t="n">
        <v>0.485</v>
      </c>
      <c r="X92" s="45">
        <f>SUMPRODUCT($E$5:$E$24,($F$5:$F$24/(W92+$F$5:$F$24*(1-W92))-$G$5:$G$24)^2)</f>
        <v/>
      </c>
      <c r="Y92" s="45">
        <f>SUMPRODUCT($L$5:$L$24,($M$5:$M$24/(W92+$M$5:$M$24*(1-W92))-$N$5:$N$24)^2)</f>
        <v/>
      </c>
      <c r="Z92" s="45">
        <f>SUMPRODUCT($S$5:$S$24,($T$5:$T$24/(W92+$T$5:$T$24*(1-W92))-$U$5:$U$24)^2)</f>
        <v/>
      </c>
    </row>
    <row r="93">
      <c r="W93" s="30" t="n">
        <v>0.49</v>
      </c>
      <c r="X93" s="45">
        <f>SUMPRODUCT($E$5:$E$24,($F$5:$F$24/(W93+$F$5:$F$24*(1-W93))-$G$5:$G$24)^2)</f>
        <v/>
      </c>
      <c r="Y93" s="45">
        <f>SUMPRODUCT($L$5:$L$24,($M$5:$M$24/(W93+$M$5:$M$24*(1-W93))-$N$5:$N$24)^2)</f>
        <v/>
      </c>
      <c r="Z93" s="45">
        <f>SUMPRODUCT($S$5:$S$24,($T$5:$T$24/(W93+$T$5:$T$24*(1-W93))-$U$5:$U$24)^2)</f>
        <v/>
      </c>
    </row>
    <row r="94">
      <c r="W94" s="30" t="n">
        <v>0.495</v>
      </c>
      <c r="X94" s="45">
        <f>SUMPRODUCT($E$5:$E$24,($F$5:$F$24/(W94+$F$5:$F$24*(1-W94))-$G$5:$G$24)^2)</f>
        <v/>
      </c>
      <c r="Y94" s="45">
        <f>SUMPRODUCT($L$5:$L$24,($M$5:$M$24/(W94+$M$5:$M$24*(1-W94))-$N$5:$N$24)^2)</f>
        <v/>
      </c>
      <c r="Z94" s="45">
        <f>SUMPRODUCT($S$5:$S$24,($T$5:$T$24/(W94+$T$5:$T$24*(1-W94))-$U$5:$U$24)^2)</f>
        <v/>
      </c>
    </row>
    <row r="95">
      <c r="W95" s="30" t="n">
        <v>0.5</v>
      </c>
      <c r="X95" s="45">
        <f>SUMPRODUCT($E$5:$E$24,($F$5:$F$24/(W95+$F$5:$F$24*(1-W95))-$G$5:$G$24)^2)</f>
        <v/>
      </c>
      <c r="Y95" s="45">
        <f>SUMPRODUCT($L$5:$L$24,($M$5:$M$24/(W95+$M$5:$M$24*(1-W95))-$N$5:$N$24)^2)</f>
        <v/>
      </c>
      <c r="Z95" s="45">
        <f>SUMPRODUCT($S$5:$S$24,($T$5:$T$24/(W95+$T$5:$T$24*(1-W95))-$U$5:$U$24)^2)</f>
        <v/>
      </c>
    </row>
    <row r="96">
      <c r="W96" s="30" t="n">
        <v>0.505</v>
      </c>
      <c r="X96" s="45">
        <f>SUMPRODUCT($E$5:$E$24,($F$5:$F$24/(W96+$F$5:$F$24*(1-W96))-$G$5:$G$24)^2)</f>
        <v/>
      </c>
      <c r="Y96" s="45">
        <f>SUMPRODUCT($L$5:$L$24,($M$5:$M$24/(W96+$M$5:$M$24*(1-W96))-$N$5:$N$24)^2)</f>
        <v/>
      </c>
      <c r="Z96" s="45">
        <f>SUMPRODUCT($S$5:$S$24,($T$5:$T$24/(W96+$T$5:$T$24*(1-W96))-$U$5:$U$24)^2)</f>
        <v/>
      </c>
    </row>
    <row r="97">
      <c r="W97" s="30" t="n">
        <v>0.51</v>
      </c>
      <c r="X97" s="45">
        <f>SUMPRODUCT($E$5:$E$24,($F$5:$F$24/(W97+$F$5:$F$24*(1-W97))-$G$5:$G$24)^2)</f>
        <v/>
      </c>
      <c r="Y97" s="45">
        <f>SUMPRODUCT($L$5:$L$24,($M$5:$M$24/(W97+$M$5:$M$24*(1-W97))-$N$5:$N$24)^2)</f>
        <v/>
      </c>
      <c r="Z97" s="45">
        <f>SUMPRODUCT($S$5:$S$24,($T$5:$T$24/(W97+$T$5:$T$24*(1-W97))-$U$5:$U$24)^2)</f>
        <v/>
      </c>
    </row>
    <row r="98">
      <c r="W98" s="30" t="n">
        <v>0.515</v>
      </c>
      <c r="X98" s="45">
        <f>SUMPRODUCT($E$5:$E$24,($F$5:$F$24/(W98+$F$5:$F$24*(1-W98))-$G$5:$G$24)^2)</f>
        <v/>
      </c>
      <c r="Y98" s="45">
        <f>SUMPRODUCT($L$5:$L$24,($M$5:$M$24/(W98+$M$5:$M$24*(1-W98))-$N$5:$N$24)^2)</f>
        <v/>
      </c>
      <c r="Z98" s="45">
        <f>SUMPRODUCT($S$5:$S$24,($T$5:$T$24/(W98+$T$5:$T$24*(1-W98))-$U$5:$U$24)^2)</f>
        <v/>
      </c>
    </row>
    <row r="99">
      <c r="W99" s="30" t="n">
        <v>0.52</v>
      </c>
      <c r="X99" s="45">
        <f>SUMPRODUCT($E$5:$E$24,($F$5:$F$24/(W99+$F$5:$F$24*(1-W99))-$G$5:$G$24)^2)</f>
        <v/>
      </c>
      <c r="Y99" s="45">
        <f>SUMPRODUCT($L$5:$L$24,($M$5:$M$24/(W99+$M$5:$M$24*(1-W99))-$N$5:$N$24)^2)</f>
        <v/>
      </c>
      <c r="Z99" s="45">
        <f>SUMPRODUCT($S$5:$S$24,($T$5:$T$24/(W99+$T$5:$T$24*(1-W99))-$U$5:$U$24)^2)</f>
        <v/>
      </c>
    </row>
    <row r="100">
      <c r="W100" s="30" t="n">
        <v>0.525</v>
      </c>
      <c r="X100" s="45">
        <f>SUMPRODUCT($E$5:$E$24,($F$5:$F$24/(W100+$F$5:$F$24*(1-W100))-$G$5:$G$24)^2)</f>
        <v/>
      </c>
      <c r="Y100" s="45">
        <f>SUMPRODUCT($L$5:$L$24,($M$5:$M$24/(W100+$M$5:$M$24*(1-W100))-$N$5:$N$24)^2)</f>
        <v/>
      </c>
      <c r="Z100" s="45">
        <f>SUMPRODUCT($S$5:$S$24,($T$5:$T$24/(W100+$T$5:$T$24*(1-W100))-$U$5:$U$24)^2)</f>
        <v/>
      </c>
    </row>
    <row r="101">
      <c r="W101" s="30" t="n">
        <v>0.53</v>
      </c>
      <c r="X101" s="45">
        <f>SUMPRODUCT($E$5:$E$24,($F$5:$F$24/(W101+$F$5:$F$24*(1-W101))-$G$5:$G$24)^2)</f>
        <v/>
      </c>
      <c r="Y101" s="45">
        <f>SUMPRODUCT($L$5:$L$24,($M$5:$M$24/(W101+$M$5:$M$24*(1-W101))-$N$5:$N$24)^2)</f>
        <v/>
      </c>
      <c r="Z101" s="45">
        <f>SUMPRODUCT($S$5:$S$24,($T$5:$T$24/(W101+$T$5:$T$24*(1-W101))-$U$5:$U$24)^2)</f>
        <v/>
      </c>
    </row>
    <row r="102">
      <c r="W102" s="30" t="n">
        <v>0.535</v>
      </c>
      <c r="X102" s="45">
        <f>SUMPRODUCT($E$5:$E$24,($F$5:$F$24/(W102+$F$5:$F$24*(1-W102))-$G$5:$G$24)^2)</f>
        <v/>
      </c>
      <c r="Y102" s="45">
        <f>SUMPRODUCT($L$5:$L$24,($M$5:$M$24/(W102+$M$5:$M$24*(1-W102))-$N$5:$N$24)^2)</f>
        <v/>
      </c>
      <c r="Z102" s="45">
        <f>SUMPRODUCT($S$5:$S$24,($T$5:$T$24/(W102+$T$5:$T$24*(1-W102))-$U$5:$U$24)^2)</f>
        <v/>
      </c>
    </row>
    <row r="103">
      <c r="W103" s="30" t="n">
        <v>0.54</v>
      </c>
      <c r="X103" s="45">
        <f>SUMPRODUCT($E$5:$E$24,($F$5:$F$24/(W103+$F$5:$F$24*(1-W103))-$G$5:$G$24)^2)</f>
        <v/>
      </c>
      <c r="Y103" s="45">
        <f>SUMPRODUCT($L$5:$L$24,($M$5:$M$24/(W103+$M$5:$M$24*(1-W103))-$N$5:$N$24)^2)</f>
        <v/>
      </c>
      <c r="Z103" s="45">
        <f>SUMPRODUCT($S$5:$S$24,($T$5:$T$24/(W103+$T$5:$T$24*(1-W103))-$U$5:$U$24)^2)</f>
        <v/>
      </c>
    </row>
    <row r="104">
      <c r="W104" s="30" t="n">
        <v>0.545</v>
      </c>
      <c r="X104" s="45">
        <f>SUMPRODUCT($E$5:$E$24,($F$5:$F$24/(W104+$F$5:$F$24*(1-W104))-$G$5:$G$24)^2)</f>
        <v/>
      </c>
      <c r="Y104" s="45">
        <f>SUMPRODUCT($L$5:$L$24,($M$5:$M$24/(W104+$M$5:$M$24*(1-W104))-$N$5:$N$24)^2)</f>
        <v/>
      </c>
      <c r="Z104" s="45">
        <f>SUMPRODUCT($S$5:$S$24,($T$5:$T$24/(W104+$T$5:$T$24*(1-W104))-$U$5:$U$24)^2)</f>
        <v/>
      </c>
    </row>
    <row r="105">
      <c r="W105" s="30" t="n">
        <v>0.55</v>
      </c>
      <c r="X105" s="45">
        <f>SUMPRODUCT($E$5:$E$24,($F$5:$F$24/(W105+$F$5:$F$24*(1-W105))-$G$5:$G$24)^2)</f>
        <v/>
      </c>
      <c r="Y105" s="45">
        <f>SUMPRODUCT($L$5:$L$24,($M$5:$M$24/(W105+$M$5:$M$24*(1-W105))-$N$5:$N$24)^2)</f>
        <v/>
      </c>
      <c r="Z105" s="45">
        <f>SUMPRODUCT($S$5:$S$24,($T$5:$T$24/(W105+$T$5:$T$24*(1-W105))-$U$5:$U$24)^2)</f>
        <v/>
      </c>
    </row>
    <row r="106">
      <c r="W106" s="30" t="n">
        <v>0.555</v>
      </c>
      <c r="X106" s="45">
        <f>SUMPRODUCT($E$5:$E$24,($F$5:$F$24/(W106+$F$5:$F$24*(1-W106))-$G$5:$G$24)^2)</f>
        <v/>
      </c>
      <c r="Y106" s="45">
        <f>SUMPRODUCT($L$5:$L$24,($M$5:$M$24/(W106+$M$5:$M$24*(1-W106))-$N$5:$N$24)^2)</f>
        <v/>
      </c>
      <c r="Z106" s="45">
        <f>SUMPRODUCT($S$5:$S$24,($T$5:$T$24/(W106+$T$5:$T$24*(1-W106))-$U$5:$U$24)^2)</f>
        <v/>
      </c>
    </row>
    <row r="107">
      <c r="W107" s="30" t="n">
        <v>0.5600000000000001</v>
      </c>
      <c r="X107" s="45">
        <f>SUMPRODUCT($E$5:$E$24,($F$5:$F$24/(W107+$F$5:$F$24*(1-W107))-$G$5:$G$24)^2)</f>
        <v/>
      </c>
      <c r="Y107" s="45">
        <f>SUMPRODUCT($L$5:$L$24,($M$5:$M$24/(W107+$M$5:$M$24*(1-W107))-$N$5:$N$24)^2)</f>
        <v/>
      </c>
      <c r="Z107" s="45">
        <f>SUMPRODUCT($S$5:$S$24,($T$5:$T$24/(W107+$T$5:$T$24*(1-W107))-$U$5:$U$24)^2)</f>
        <v/>
      </c>
    </row>
    <row r="108">
      <c r="W108" s="30" t="n">
        <v>0.5649999999999999</v>
      </c>
      <c r="X108" s="45">
        <f>SUMPRODUCT($E$5:$E$24,($F$5:$F$24/(W108+$F$5:$F$24*(1-W108))-$G$5:$G$24)^2)</f>
        <v/>
      </c>
      <c r="Y108" s="45">
        <f>SUMPRODUCT($L$5:$L$24,($M$5:$M$24/(W108+$M$5:$M$24*(1-W108))-$N$5:$N$24)^2)</f>
        <v/>
      </c>
      <c r="Z108" s="45">
        <f>SUMPRODUCT($S$5:$S$24,($T$5:$T$24/(W108+$T$5:$T$24*(1-W108))-$U$5:$U$24)^2)</f>
        <v/>
      </c>
    </row>
    <row r="109">
      <c r="W109" s="30" t="n">
        <v>0.57</v>
      </c>
      <c r="X109" s="45">
        <f>SUMPRODUCT($E$5:$E$24,($F$5:$F$24/(W109+$F$5:$F$24*(1-W109))-$G$5:$G$24)^2)</f>
        <v/>
      </c>
      <c r="Y109" s="45">
        <f>SUMPRODUCT($L$5:$L$24,($M$5:$M$24/(W109+$M$5:$M$24*(1-W109))-$N$5:$N$24)^2)</f>
        <v/>
      </c>
      <c r="Z109" s="45">
        <f>SUMPRODUCT($S$5:$S$24,($T$5:$T$24/(W109+$T$5:$T$24*(1-W109))-$U$5:$U$24)^2)</f>
        <v/>
      </c>
    </row>
    <row r="110">
      <c r="W110" s="30" t="n">
        <v>0.575</v>
      </c>
      <c r="X110" s="45">
        <f>SUMPRODUCT($E$5:$E$24,($F$5:$F$24/(W110+$F$5:$F$24*(1-W110))-$G$5:$G$24)^2)</f>
        <v/>
      </c>
      <c r="Y110" s="45">
        <f>SUMPRODUCT($L$5:$L$24,($M$5:$M$24/(W110+$M$5:$M$24*(1-W110))-$N$5:$N$24)^2)</f>
        <v/>
      </c>
      <c r="Z110" s="45">
        <f>SUMPRODUCT($S$5:$S$24,($T$5:$T$24/(W110+$T$5:$T$24*(1-W110))-$U$5:$U$24)^2)</f>
        <v/>
      </c>
    </row>
    <row r="111">
      <c r="W111" s="30" t="n">
        <v>0.58</v>
      </c>
      <c r="X111" s="45">
        <f>SUMPRODUCT($E$5:$E$24,($F$5:$F$24/(W111+$F$5:$F$24*(1-W111))-$G$5:$G$24)^2)</f>
        <v/>
      </c>
      <c r="Y111" s="45">
        <f>SUMPRODUCT($L$5:$L$24,($M$5:$M$24/(W111+$M$5:$M$24*(1-W111))-$N$5:$N$24)^2)</f>
        <v/>
      </c>
      <c r="Z111" s="45">
        <f>SUMPRODUCT($S$5:$S$24,($T$5:$T$24/(W111+$T$5:$T$24*(1-W111))-$U$5:$U$24)^2)</f>
        <v/>
      </c>
    </row>
    <row r="112">
      <c r="W112" s="30" t="n">
        <v>0.585</v>
      </c>
      <c r="X112" s="45">
        <f>SUMPRODUCT($E$5:$E$24,($F$5:$F$24/(W112+$F$5:$F$24*(1-W112))-$G$5:$G$24)^2)</f>
        <v/>
      </c>
      <c r="Y112" s="45">
        <f>SUMPRODUCT($L$5:$L$24,($M$5:$M$24/(W112+$M$5:$M$24*(1-W112))-$N$5:$N$24)^2)</f>
        <v/>
      </c>
      <c r="Z112" s="45">
        <f>SUMPRODUCT($S$5:$S$24,($T$5:$T$24/(W112+$T$5:$T$24*(1-W112))-$U$5:$U$24)^2)</f>
        <v/>
      </c>
    </row>
    <row r="113">
      <c r="W113" s="30" t="n">
        <v>0.59</v>
      </c>
      <c r="X113" s="45">
        <f>SUMPRODUCT($E$5:$E$24,($F$5:$F$24/(W113+$F$5:$F$24*(1-W113))-$G$5:$G$24)^2)</f>
        <v/>
      </c>
      <c r="Y113" s="45">
        <f>SUMPRODUCT($L$5:$L$24,($M$5:$M$24/(W113+$M$5:$M$24*(1-W113))-$N$5:$N$24)^2)</f>
        <v/>
      </c>
      <c r="Z113" s="45">
        <f>SUMPRODUCT($S$5:$S$24,($T$5:$T$24/(W113+$T$5:$T$24*(1-W113))-$U$5:$U$24)^2)</f>
        <v/>
      </c>
    </row>
    <row r="114">
      <c r="W114" s="30" t="n">
        <v>0.595</v>
      </c>
      <c r="X114" s="45">
        <f>SUMPRODUCT($E$5:$E$24,($F$5:$F$24/(W114+$F$5:$F$24*(1-W114))-$G$5:$G$24)^2)</f>
        <v/>
      </c>
      <c r="Y114" s="45">
        <f>SUMPRODUCT($L$5:$L$24,($M$5:$M$24/(W114+$M$5:$M$24*(1-W114))-$N$5:$N$24)^2)</f>
        <v/>
      </c>
      <c r="Z114" s="45">
        <f>SUMPRODUCT($S$5:$S$24,($T$5:$T$24/(W114+$T$5:$T$24*(1-W114))-$U$5:$U$24)^2)</f>
        <v/>
      </c>
    </row>
    <row r="115">
      <c r="W115" s="30" t="n">
        <v>0.6</v>
      </c>
      <c r="X115" s="45">
        <f>SUMPRODUCT($E$5:$E$24,($F$5:$F$24/(W115+$F$5:$F$24*(1-W115))-$G$5:$G$24)^2)</f>
        <v/>
      </c>
      <c r="Y115" s="45">
        <f>SUMPRODUCT($L$5:$L$24,($M$5:$M$24/(W115+$M$5:$M$24*(1-W115))-$N$5:$N$24)^2)</f>
        <v/>
      </c>
      <c r="Z115" s="45">
        <f>SUMPRODUCT($S$5:$S$24,($T$5:$T$24/(W115+$T$5:$T$24*(1-W115))-$U$5:$U$24)^2)</f>
        <v/>
      </c>
    </row>
    <row r="116">
      <c r="W116" s="30" t="n">
        <v>0.605</v>
      </c>
      <c r="X116" s="45">
        <f>SUMPRODUCT($E$5:$E$24,($F$5:$F$24/(W116+$F$5:$F$24*(1-W116))-$G$5:$G$24)^2)</f>
        <v/>
      </c>
      <c r="Y116" s="45">
        <f>SUMPRODUCT($L$5:$L$24,($M$5:$M$24/(W116+$M$5:$M$24*(1-W116))-$N$5:$N$24)^2)</f>
        <v/>
      </c>
      <c r="Z116" s="45">
        <f>SUMPRODUCT($S$5:$S$24,($T$5:$T$24/(W116+$T$5:$T$24*(1-W116))-$U$5:$U$24)^2)</f>
        <v/>
      </c>
    </row>
    <row r="117">
      <c r="W117" s="30" t="n">
        <v>0.61</v>
      </c>
      <c r="X117" s="45">
        <f>SUMPRODUCT($E$5:$E$24,($F$5:$F$24/(W117+$F$5:$F$24*(1-W117))-$G$5:$G$24)^2)</f>
        <v/>
      </c>
      <c r="Y117" s="45">
        <f>SUMPRODUCT($L$5:$L$24,($M$5:$M$24/(W117+$M$5:$M$24*(1-W117))-$N$5:$N$24)^2)</f>
        <v/>
      </c>
      <c r="Z117" s="45">
        <f>SUMPRODUCT($S$5:$S$24,($T$5:$T$24/(W117+$T$5:$T$24*(1-W117))-$U$5:$U$24)^2)</f>
        <v/>
      </c>
    </row>
    <row r="118">
      <c r="W118" s="30" t="n">
        <v>0.615</v>
      </c>
      <c r="X118" s="45">
        <f>SUMPRODUCT($E$5:$E$24,($F$5:$F$24/(W118+$F$5:$F$24*(1-W118))-$G$5:$G$24)^2)</f>
        <v/>
      </c>
      <c r="Y118" s="45">
        <f>SUMPRODUCT($L$5:$L$24,($M$5:$M$24/(W118+$M$5:$M$24*(1-W118))-$N$5:$N$24)^2)</f>
        <v/>
      </c>
      <c r="Z118" s="45">
        <f>SUMPRODUCT($S$5:$S$24,($T$5:$T$24/(W118+$T$5:$T$24*(1-W118))-$U$5:$U$24)^2)</f>
        <v/>
      </c>
    </row>
    <row r="119">
      <c r="W119" s="30" t="n">
        <v>0.62</v>
      </c>
      <c r="X119" s="45">
        <f>SUMPRODUCT($E$5:$E$24,($F$5:$F$24/(W119+$F$5:$F$24*(1-W119))-$G$5:$G$24)^2)</f>
        <v/>
      </c>
      <c r="Y119" s="45">
        <f>SUMPRODUCT($L$5:$L$24,($M$5:$M$24/(W119+$M$5:$M$24*(1-W119))-$N$5:$N$24)^2)</f>
        <v/>
      </c>
      <c r="Z119" s="45">
        <f>SUMPRODUCT($S$5:$S$24,($T$5:$T$24/(W119+$T$5:$T$24*(1-W119))-$U$5:$U$24)^2)</f>
        <v/>
      </c>
    </row>
    <row r="120">
      <c r="W120" s="30" t="n">
        <v>0.625</v>
      </c>
      <c r="X120" s="45">
        <f>SUMPRODUCT($E$5:$E$24,($F$5:$F$24/(W120+$F$5:$F$24*(1-W120))-$G$5:$G$24)^2)</f>
        <v/>
      </c>
      <c r="Y120" s="45">
        <f>SUMPRODUCT($L$5:$L$24,($M$5:$M$24/(W120+$M$5:$M$24*(1-W120))-$N$5:$N$24)^2)</f>
        <v/>
      </c>
      <c r="Z120" s="45">
        <f>SUMPRODUCT($S$5:$S$24,($T$5:$T$24/(W120+$T$5:$T$24*(1-W120))-$U$5:$U$24)^2)</f>
        <v/>
      </c>
    </row>
    <row r="121">
      <c r="W121" s="30" t="n">
        <v>0.63</v>
      </c>
      <c r="X121" s="45">
        <f>SUMPRODUCT($E$5:$E$24,($F$5:$F$24/(W121+$F$5:$F$24*(1-W121))-$G$5:$G$24)^2)</f>
        <v/>
      </c>
      <c r="Y121" s="45">
        <f>SUMPRODUCT($L$5:$L$24,($M$5:$M$24/(W121+$M$5:$M$24*(1-W121))-$N$5:$N$24)^2)</f>
        <v/>
      </c>
      <c r="Z121" s="45">
        <f>SUMPRODUCT($S$5:$S$24,($T$5:$T$24/(W121+$T$5:$T$24*(1-W121))-$U$5:$U$24)^2)</f>
        <v/>
      </c>
    </row>
    <row r="122">
      <c r="W122" s="30" t="n">
        <v>0.635</v>
      </c>
      <c r="X122" s="45">
        <f>SUMPRODUCT($E$5:$E$24,($F$5:$F$24/(W122+$F$5:$F$24*(1-W122))-$G$5:$G$24)^2)</f>
        <v/>
      </c>
      <c r="Y122" s="45">
        <f>SUMPRODUCT($L$5:$L$24,($M$5:$M$24/(W122+$M$5:$M$24*(1-W122))-$N$5:$N$24)^2)</f>
        <v/>
      </c>
      <c r="Z122" s="45">
        <f>SUMPRODUCT($S$5:$S$24,($T$5:$T$24/(W122+$T$5:$T$24*(1-W122))-$U$5:$U$24)^2)</f>
        <v/>
      </c>
    </row>
    <row r="123">
      <c r="W123" s="30" t="n">
        <v>0.64</v>
      </c>
      <c r="X123" s="45">
        <f>SUMPRODUCT($E$5:$E$24,($F$5:$F$24/(W123+$F$5:$F$24*(1-W123))-$G$5:$G$24)^2)</f>
        <v/>
      </c>
      <c r="Y123" s="45">
        <f>SUMPRODUCT($L$5:$L$24,($M$5:$M$24/(W123+$M$5:$M$24*(1-W123))-$N$5:$N$24)^2)</f>
        <v/>
      </c>
      <c r="Z123" s="45">
        <f>SUMPRODUCT($S$5:$S$24,($T$5:$T$24/(W123+$T$5:$T$24*(1-W123))-$U$5:$U$24)^2)</f>
        <v/>
      </c>
    </row>
    <row r="124">
      <c r="W124" s="30" t="n">
        <v>0.645</v>
      </c>
      <c r="X124" s="45">
        <f>SUMPRODUCT($E$5:$E$24,($F$5:$F$24/(W124+$F$5:$F$24*(1-W124))-$G$5:$G$24)^2)</f>
        <v/>
      </c>
      <c r="Y124" s="45">
        <f>SUMPRODUCT($L$5:$L$24,($M$5:$M$24/(W124+$M$5:$M$24*(1-W124))-$N$5:$N$24)^2)</f>
        <v/>
      </c>
      <c r="Z124" s="45">
        <f>SUMPRODUCT($S$5:$S$24,($T$5:$T$24/(W124+$T$5:$T$24*(1-W124))-$U$5:$U$24)^2)</f>
        <v/>
      </c>
    </row>
    <row r="125">
      <c r="W125" s="30" t="n">
        <v>0.65</v>
      </c>
      <c r="X125" s="45">
        <f>SUMPRODUCT($E$5:$E$24,($F$5:$F$24/(W125+$F$5:$F$24*(1-W125))-$G$5:$G$24)^2)</f>
        <v/>
      </c>
      <c r="Y125" s="45">
        <f>SUMPRODUCT($L$5:$L$24,($M$5:$M$24/(W125+$M$5:$M$24*(1-W125))-$N$5:$N$24)^2)</f>
        <v/>
      </c>
      <c r="Z125" s="45">
        <f>SUMPRODUCT($S$5:$S$24,($T$5:$T$24/(W125+$T$5:$T$24*(1-W125))-$U$5:$U$24)^2)</f>
        <v/>
      </c>
    </row>
    <row r="126">
      <c r="W126" s="30" t="n">
        <v>0.655</v>
      </c>
      <c r="X126" s="45">
        <f>SUMPRODUCT($E$5:$E$24,($F$5:$F$24/(W126+$F$5:$F$24*(1-W126))-$G$5:$G$24)^2)</f>
        <v/>
      </c>
      <c r="Y126" s="45">
        <f>SUMPRODUCT($L$5:$L$24,($M$5:$M$24/(W126+$M$5:$M$24*(1-W126))-$N$5:$N$24)^2)</f>
        <v/>
      </c>
      <c r="Z126" s="45">
        <f>SUMPRODUCT($S$5:$S$24,($T$5:$T$24/(W126+$T$5:$T$24*(1-W126))-$U$5:$U$24)^2)</f>
        <v/>
      </c>
    </row>
    <row r="127">
      <c r="W127" s="30" t="n">
        <v>0.66</v>
      </c>
      <c r="X127" s="45">
        <f>SUMPRODUCT($E$5:$E$24,($F$5:$F$24/(W127+$F$5:$F$24*(1-W127))-$G$5:$G$24)^2)</f>
        <v/>
      </c>
      <c r="Y127" s="45">
        <f>SUMPRODUCT($L$5:$L$24,($M$5:$M$24/(W127+$M$5:$M$24*(1-W127))-$N$5:$N$24)^2)</f>
        <v/>
      </c>
      <c r="Z127" s="45">
        <f>SUMPRODUCT($S$5:$S$24,($T$5:$T$24/(W127+$T$5:$T$24*(1-W127))-$U$5:$U$24)^2)</f>
        <v/>
      </c>
    </row>
    <row r="128">
      <c r="W128" s="30" t="n">
        <v>0.665</v>
      </c>
      <c r="X128" s="45">
        <f>SUMPRODUCT($E$5:$E$24,($F$5:$F$24/(W128+$F$5:$F$24*(1-W128))-$G$5:$G$24)^2)</f>
        <v/>
      </c>
      <c r="Y128" s="45">
        <f>SUMPRODUCT($L$5:$L$24,($M$5:$M$24/(W128+$M$5:$M$24*(1-W128))-$N$5:$N$24)^2)</f>
        <v/>
      </c>
      <c r="Z128" s="45">
        <f>SUMPRODUCT($S$5:$S$24,($T$5:$T$24/(W128+$T$5:$T$24*(1-W128))-$U$5:$U$24)^2)</f>
        <v/>
      </c>
    </row>
    <row r="129">
      <c r="W129" s="30" t="n">
        <v>0.67</v>
      </c>
      <c r="X129" s="45">
        <f>SUMPRODUCT($E$5:$E$24,($F$5:$F$24/(W129+$F$5:$F$24*(1-W129))-$G$5:$G$24)^2)</f>
        <v/>
      </c>
      <c r="Y129" s="45">
        <f>SUMPRODUCT($L$5:$L$24,($M$5:$M$24/(W129+$M$5:$M$24*(1-W129))-$N$5:$N$24)^2)</f>
        <v/>
      </c>
      <c r="Z129" s="45">
        <f>SUMPRODUCT($S$5:$S$24,($T$5:$T$24/(W129+$T$5:$T$24*(1-W129))-$U$5:$U$24)^2)</f>
        <v/>
      </c>
    </row>
    <row r="130">
      <c r="W130" s="30" t="n">
        <v>0.675</v>
      </c>
      <c r="X130" s="45">
        <f>SUMPRODUCT($E$5:$E$24,($F$5:$F$24/(W130+$F$5:$F$24*(1-W130))-$G$5:$G$24)^2)</f>
        <v/>
      </c>
      <c r="Y130" s="45">
        <f>SUMPRODUCT($L$5:$L$24,($M$5:$M$24/(W130+$M$5:$M$24*(1-W130))-$N$5:$N$24)^2)</f>
        <v/>
      </c>
      <c r="Z130" s="45">
        <f>SUMPRODUCT($S$5:$S$24,($T$5:$T$24/(W130+$T$5:$T$24*(1-W130))-$U$5:$U$24)^2)</f>
        <v/>
      </c>
    </row>
    <row r="131">
      <c r="W131" s="30" t="n">
        <v>0.68</v>
      </c>
      <c r="X131" s="45">
        <f>SUMPRODUCT($E$5:$E$24,($F$5:$F$24/(W131+$F$5:$F$24*(1-W131))-$G$5:$G$24)^2)</f>
        <v/>
      </c>
      <c r="Y131" s="45">
        <f>SUMPRODUCT($L$5:$L$24,($M$5:$M$24/(W131+$M$5:$M$24*(1-W131))-$N$5:$N$24)^2)</f>
        <v/>
      </c>
      <c r="Z131" s="45">
        <f>SUMPRODUCT($S$5:$S$24,($T$5:$T$24/(W131+$T$5:$T$24*(1-W131))-$U$5:$U$24)^2)</f>
        <v/>
      </c>
    </row>
    <row r="132">
      <c r="W132" s="30" t="n">
        <v>0.6850000000000001</v>
      </c>
      <c r="X132" s="45">
        <f>SUMPRODUCT($E$5:$E$24,($F$5:$F$24/(W132+$F$5:$F$24*(1-W132))-$G$5:$G$24)^2)</f>
        <v/>
      </c>
      <c r="Y132" s="45">
        <f>SUMPRODUCT($L$5:$L$24,($M$5:$M$24/(W132+$M$5:$M$24*(1-W132))-$N$5:$N$24)^2)</f>
        <v/>
      </c>
      <c r="Z132" s="45">
        <f>SUMPRODUCT($S$5:$S$24,($T$5:$T$24/(W132+$T$5:$T$24*(1-W132))-$U$5:$U$24)^2)</f>
        <v/>
      </c>
    </row>
    <row r="133">
      <c r="W133" s="30" t="n">
        <v>0.6899999999999999</v>
      </c>
      <c r="X133" s="45">
        <f>SUMPRODUCT($E$5:$E$24,($F$5:$F$24/(W133+$F$5:$F$24*(1-W133))-$G$5:$G$24)^2)</f>
        <v/>
      </c>
      <c r="Y133" s="45">
        <f>SUMPRODUCT($L$5:$L$24,($M$5:$M$24/(W133+$M$5:$M$24*(1-W133))-$N$5:$N$24)^2)</f>
        <v/>
      </c>
      <c r="Z133" s="45">
        <f>SUMPRODUCT($S$5:$S$24,($T$5:$T$24/(W133+$T$5:$T$24*(1-W133))-$U$5:$U$24)^2)</f>
        <v/>
      </c>
    </row>
    <row r="134">
      <c r="W134" s="30" t="n">
        <v>0.695</v>
      </c>
      <c r="X134" s="45">
        <f>SUMPRODUCT($E$5:$E$24,($F$5:$F$24/(W134+$F$5:$F$24*(1-W134))-$G$5:$G$24)^2)</f>
        <v/>
      </c>
      <c r="Y134" s="45">
        <f>SUMPRODUCT($L$5:$L$24,($M$5:$M$24/(W134+$M$5:$M$24*(1-W134))-$N$5:$N$24)^2)</f>
        <v/>
      </c>
      <c r="Z134" s="45">
        <f>SUMPRODUCT($S$5:$S$24,($T$5:$T$24/(W134+$T$5:$T$24*(1-W134))-$U$5:$U$24)^2)</f>
        <v/>
      </c>
    </row>
    <row r="135">
      <c r="W135" s="30" t="n">
        <v>0.7</v>
      </c>
      <c r="X135" s="45">
        <f>SUMPRODUCT($E$5:$E$24,($F$5:$F$24/(W135+$F$5:$F$24*(1-W135))-$G$5:$G$24)^2)</f>
        <v/>
      </c>
      <c r="Y135" s="45">
        <f>SUMPRODUCT($L$5:$L$24,($M$5:$M$24/(W135+$M$5:$M$24*(1-W135))-$N$5:$N$24)^2)</f>
        <v/>
      </c>
      <c r="Z135" s="45">
        <f>SUMPRODUCT($S$5:$S$24,($T$5:$T$24/(W135+$T$5:$T$24*(1-W135))-$U$5:$U$24)^2)</f>
        <v/>
      </c>
    </row>
    <row r="136">
      <c r="W136" s="30" t="n">
        <v>0.705</v>
      </c>
      <c r="X136" s="45">
        <f>SUMPRODUCT($E$5:$E$24,($F$5:$F$24/(W136+$F$5:$F$24*(1-W136))-$G$5:$G$24)^2)</f>
        <v/>
      </c>
      <c r="Y136" s="45">
        <f>SUMPRODUCT($L$5:$L$24,($M$5:$M$24/(W136+$M$5:$M$24*(1-W136))-$N$5:$N$24)^2)</f>
        <v/>
      </c>
      <c r="Z136" s="45">
        <f>SUMPRODUCT($S$5:$S$24,($T$5:$T$24/(W136+$T$5:$T$24*(1-W136))-$U$5:$U$24)^2)</f>
        <v/>
      </c>
    </row>
    <row r="137">
      <c r="W137" s="30" t="n">
        <v>0.71</v>
      </c>
      <c r="X137" s="45">
        <f>SUMPRODUCT($E$5:$E$24,($F$5:$F$24/(W137+$F$5:$F$24*(1-W137))-$G$5:$G$24)^2)</f>
        <v/>
      </c>
      <c r="Y137" s="45">
        <f>SUMPRODUCT($L$5:$L$24,($M$5:$M$24/(W137+$M$5:$M$24*(1-W137))-$N$5:$N$24)^2)</f>
        <v/>
      </c>
      <c r="Z137" s="45">
        <f>SUMPRODUCT($S$5:$S$24,($T$5:$T$24/(W137+$T$5:$T$24*(1-W137))-$U$5:$U$24)^2)</f>
        <v/>
      </c>
    </row>
    <row r="138">
      <c r="W138" s="30" t="n">
        <v>0.715</v>
      </c>
      <c r="X138" s="45">
        <f>SUMPRODUCT($E$5:$E$24,($F$5:$F$24/(W138+$F$5:$F$24*(1-W138))-$G$5:$G$24)^2)</f>
        <v/>
      </c>
      <c r="Y138" s="45">
        <f>SUMPRODUCT($L$5:$L$24,($M$5:$M$24/(W138+$M$5:$M$24*(1-W138))-$N$5:$N$24)^2)</f>
        <v/>
      </c>
      <c r="Z138" s="45">
        <f>SUMPRODUCT($S$5:$S$24,($T$5:$T$24/(W138+$T$5:$T$24*(1-W138))-$U$5:$U$24)^2)</f>
        <v/>
      </c>
    </row>
    <row r="139">
      <c r="W139" s="30" t="n">
        <v>0.72</v>
      </c>
      <c r="X139" s="45">
        <f>SUMPRODUCT($E$5:$E$24,($F$5:$F$24/(W139+$F$5:$F$24*(1-W139))-$G$5:$G$24)^2)</f>
        <v/>
      </c>
      <c r="Y139" s="45">
        <f>SUMPRODUCT($L$5:$L$24,($M$5:$M$24/(W139+$M$5:$M$24*(1-W139))-$N$5:$N$24)^2)</f>
        <v/>
      </c>
      <c r="Z139" s="45">
        <f>SUMPRODUCT($S$5:$S$24,($T$5:$T$24/(W139+$T$5:$T$24*(1-W139))-$U$5:$U$24)^2)</f>
        <v/>
      </c>
    </row>
    <row r="140">
      <c r="W140" s="30" t="n">
        <v>0.725</v>
      </c>
      <c r="X140" s="45">
        <f>SUMPRODUCT($E$5:$E$24,($F$5:$F$24/(W140+$F$5:$F$24*(1-W140))-$G$5:$G$24)^2)</f>
        <v/>
      </c>
      <c r="Y140" s="45">
        <f>SUMPRODUCT($L$5:$L$24,($M$5:$M$24/(W140+$M$5:$M$24*(1-W140))-$N$5:$N$24)^2)</f>
        <v/>
      </c>
      <c r="Z140" s="45">
        <f>SUMPRODUCT($S$5:$S$24,($T$5:$T$24/(W140+$T$5:$T$24*(1-W140))-$U$5:$U$24)^2)</f>
        <v/>
      </c>
    </row>
    <row r="141">
      <c r="W141" s="30" t="n">
        <v>0.73</v>
      </c>
      <c r="X141" s="45">
        <f>SUMPRODUCT($E$5:$E$24,($F$5:$F$24/(W141+$F$5:$F$24*(1-W141))-$G$5:$G$24)^2)</f>
        <v/>
      </c>
      <c r="Y141" s="45">
        <f>SUMPRODUCT($L$5:$L$24,($M$5:$M$24/(W141+$M$5:$M$24*(1-W141))-$N$5:$N$24)^2)</f>
        <v/>
      </c>
      <c r="Z141" s="45">
        <f>SUMPRODUCT($S$5:$S$24,($T$5:$T$24/(W141+$T$5:$T$24*(1-W141))-$U$5:$U$24)^2)</f>
        <v/>
      </c>
    </row>
    <row r="142">
      <c r="W142" s="30" t="n">
        <v>0.735</v>
      </c>
      <c r="X142" s="45">
        <f>SUMPRODUCT($E$5:$E$24,($F$5:$F$24/(W142+$F$5:$F$24*(1-W142))-$G$5:$G$24)^2)</f>
        <v/>
      </c>
      <c r="Y142" s="45">
        <f>SUMPRODUCT($L$5:$L$24,($M$5:$M$24/(W142+$M$5:$M$24*(1-W142))-$N$5:$N$24)^2)</f>
        <v/>
      </c>
      <c r="Z142" s="45">
        <f>SUMPRODUCT($S$5:$S$24,($T$5:$T$24/(W142+$T$5:$T$24*(1-W142))-$U$5:$U$24)^2)</f>
        <v/>
      </c>
    </row>
    <row r="143">
      <c r="W143" s="30" t="n">
        <v>0.74</v>
      </c>
      <c r="X143" s="45">
        <f>SUMPRODUCT($E$5:$E$24,($F$5:$F$24/(W143+$F$5:$F$24*(1-W143))-$G$5:$G$24)^2)</f>
        <v/>
      </c>
      <c r="Y143" s="45">
        <f>SUMPRODUCT($L$5:$L$24,($M$5:$M$24/(W143+$M$5:$M$24*(1-W143))-$N$5:$N$24)^2)</f>
        <v/>
      </c>
      <c r="Z143" s="45">
        <f>SUMPRODUCT($S$5:$S$24,($T$5:$T$24/(W143+$T$5:$T$24*(1-W143))-$U$5:$U$24)^2)</f>
        <v/>
      </c>
    </row>
    <row r="144">
      <c r="W144" s="30" t="n">
        <v>0.745</v>
      </c>
      <c r="X144" s="45">
        <f>SUMPRODUCT($E$5:$E$24,($F$5:$F$24/(W144+$F$5:$F$24*(1-W144))-$G$5:$G$24)^2)</f>
        <v/>
      </c>
      <c r="Y144" s="45">
        <f>SUMPRODUCT($L$5:$L$24,($M$5:$M$24/(W144+$M$5:$M$24*(1-W144))-$N$5:$N$24)^2)</f>
        <v/>
      </c>
      <c r="Z144" s="45">
        <f>SUMPRODUCT($S$5:$S$24,($T$5:$T$24/(W144+$T$5:$T$24*(1-W144))-$U$5:$U$24)^2)</f>
        <v/>
      </c>
    </row>
    <row r="145">
      <c r="W145" s="30" t="n">
        <v>0.75</v>
      </c>
      <c r="X145" s="45">
        <f>SUMPRODUCT($E$5:$E$24,($F$5:$F$24/(W145+$F$5:$F$24*(1-W145))-$G$5:$G$24)^2)</f>
        <v/>
      </c>
      <c r="Y145" s="45">
        <f>SUMPRODUCT($L$5:$L$24,($M$5:$M$24/(W145+$M$5:$M$24*(1-W145))-$N$5:$N$24)^2)</f>
        <v/>
      </c>
      <c r="Z145" s="45">
        <f>SUMPRODUCT($S$5:$S$24,($T$5:$T$24/(W145+$T$5:$T$24*(1-W145))-$U$5:$U$24)^2)</f>
        <v/>
      </c>
    </row>
    <row r="146">
      <c r="W146" s="30" t="n">
        <v>0.755</v>
      </c>
      <c r="X146" s="45">
        <f>SUMPRODUCT($E$5:$E$24,($F$5:$F$24/(W146+$F$5:$F$24*(1-W146))-$G$5:$G$24)^2)</f>
        <v/>
      </c>
      <c r="Y146" s="45">
        <f>SUMPRODUCT($L$5:$L$24,($M$5:$M$24/(W146+$M$5:$M$24*(1-W146))-$N$5:$N$24)^2)</f>
        <v/>
      </c>
      <c r="Z146" s="45">
        <f>SUMPRODUCT($S$5:$S$24,($T$5:$T$24/(W146+$T$5:$T$24*(1-W146))-$U$5:$U$24)^2)</f>
        <v/>
      </c>
    </row>
    <row r="147">
      <c r="W147" s="30" t="n">
        <v>0.76</v>
      </c>
      <c r="X147" s="45">
        <f>SUMPRODUCT($E$5:$E$24,($F$5:$F$24/(W147+$F$5:$F$24*(1-W147))-$G$5:$G$24)^2)</f>
        <v/>
      </c>
      <c r="Y147" s="45">
        <f>SUMPRODUCT($L$5:$L$24,($M$5:$M$24/(W147+$M$5:$M$24*(1-W147))-$N$5:$N$24)^2)</f>
        <v/>
      </c>
      <c r="Z147" s="45">
        <f>SUMPRODUCT($S$5:$S$24,($T$5:$T$24/(W147+$T$5:$T$24*(1-W147))-$U$5:$U$24)^2)</f>
        <v/>
      </c>
    </row>
    <row r="148">
      <c r="W148" s="30" t="n">
        <v>0.765</v>
      </c>
      <c r="X148" s="45">
        <f>SUMPRODUCT($E$5:$E$24,($F$5:$F$24/(W148+$F$5:$F$24*(1-W148))-$G$5:$G$24)^2)</f>
        <v/>
      </c>
      <c r="Y148" s="45">
        <f>SUMPRODUCT($L$5:$L$24,($M$5:$M$24/(W148+$M$5:$M$24*(1-W148))-$N$5:$N$24)^2)</f>
        <v/>
      </c>
      <c r="Z148" s="45">
        <f>SUMPRODUCT($S$5:$S$24,($T$5:$T$24/(W148+$T$5:$T$24*(1-W148))-$U$5:$U$24)^2)</f>
        <v/>
      </c>
    </row>
    <row r="149">
      <c r="W149" s="30" t="n">
        <v>0.77</v>
      </c>
      <c r="X149" s="45">
        <f>SUMPRODUCT($E$5:$E$24,($F$5:$F$24/(W149+$F$5:$F$24*(1-W149))-$G$5:$G$24)^2)</f>
        <v/>
      </c>
      <c r="Y149" s="45">
        <f>SUMPRODUCT($L$5:$L$24,($M$5:$M$24/(W149+$M$5:$M$24*(1-W149))-$N$5:$N$24)^2)</f>
        <v/>
      </c>
      <c r="Z149" s="45">
        <f>SUMPRODUCT($S$5:$S$24,($T$5:$T$24/(W149+$T$5:$T$24*(1-W149))-$U$5:$U$24)^2)</f>
        <v/>
      </c>
    </row>
    <row r="150">
      <c r="W150" s="30" t="n">
        <v>0.775</v>
      </c>
      <c r="X150" s="45">
        <f>SUMPRODUCT($E$5:$E$24,($F$5:$F$24/(W150+$F$5:$F$24*(1-W150))-$G$5:$G$24)^2)</f>
        <v/>
      </c>
      <c r="Y150" s="45">
        <f>SUMPRODUCT($L$5:$L$24,($M$5:$M$24/(W150+$M$5:$M$24*(1-W150))-$N$5:$N$24)^2)</f>
        <v/>
      </c>
      <c r="Z150" s="45">
        <f>SUMPRODUCT($S$5:$S$24,($T$5:$T$24/(W150+$T$5:$T$24*(1-W150))-$U$5:$U$24)^2)</f>
        <v/>
      </c>
    </row>
    <row r="151">
      <c r="W151" s="30" t="n">
        <v>0.78</v>
      </c>
      <c r="X151" s="45">
        <f>SUMPRODUCT($E$5:$E$24,($F$5:$F$24/(W151+$F$5:$F$24*(1-W151))-$G$5:$G$24)^2)</f>
        <v/>
      </c>
      <c r="Y151" s="45">
        <f>SUMPRODUCT($L$5:$L$24,($M$5:$M$24/(W151+$M$5:$M$24*(1-W151))-$N$5:$N$24)^2)</f>
        <v/>
      </c>
      <c r="Z151" s="45">
        <f>SUMPRODUCT($S$5:$S$24,($T$5:$T$24/(W151+$T$5:$T$24*(1-W151))-$U$5:$U$24)^2)</f>
        <v/>
      </c>
    </row>
    <row r="152">
      <c r="W152" s="30" t="n">
        <v>0.785</v>
      </c>
      <c r="X152" s="45">
        <f>SUMPRODUCT($E$5:$E$24,($F$5:$F$24/(W152+$F$5:$F$24*(1-W152))-$G$5:$G$24)^2)</f>
        <v/>
      </c>
      <c r="Y152" s="45">
        <f>SUMPRODUCT($L$5:$L$24,($M$5:$M$24/(W152+$M$5:$M$24*(1-W152))-$N$5:$N$24)^2)</f>
        <v/>
      </c>
      <c r="Z152" s="45">
        <f>SUMPRODUCT($S$5:$S$24,($T$5:$T$24/(W152+$T$5:$T$24*(1-W152))-$U$5:$U$24)^2)</f>
        <v/>
      </c>
    </row>
    <row r="153">
      <c r="W153" s="30" t="n">
        <v>0.79</v>
      </c>
      <c r="X153" s="45">
        <f>SUMPRODUCT($E$5:$E$24,($F$5:$F$24/(W153+$F$5:$F$24*(1-W153))-$G$5:$G$24)^2)</f>
        <v/>
      </c>
      <c r="Y153" s="45">
        <f>SUMPRODUCT($L$5:$L$24,($M$5:$M$24/(W153+$M$5:$M$24*(1-W153))-$N$5:$N$24)^2)</f>
        <v/>
      </c>
      <c r="Z153" s="45">
        <f>SUMPRODUCT($S$5:$S$24,($T$5:$T$24/(W153+$T$5:$T$24*(1-W153))-$U$5:$U$24)^2)</f>
        <v/>
      </c>
    </row>
    <row r="154">
      <c r="W154" s="30" t="n">
        <v>0.795</v>
      </c>
      <c r="X154" s="45">
        <f>SUMPRODUCT($E$5:$E$24,($F$5:$F$24/(W154+$F$5:$F$24*(1-W154))-$G$5:$G$24)^2)</f>
        <v/>
      </c>
      <c r="Y154" s="45">
        <f>SUMPRODUCT($L$5:$L$24,($M$5:$M$24/(W154+$M$5:$M$24*(1-W154))-$N$5:$N$24)^2)</f>
        <v/>
      </c>
      <c r="Z154" s="45">
        <f>SUMPRODUCT($S$5:$S$24,($T$5:$T$24/(W154+$T$5:$T$24*(1-W154))-$U$5:$U$24)^2)</f>
        <v/>
      </c>
    </row>
    <row r="155">
      <c r="W155" s="30" t="n">
        <v>0.8</v>
      </c>
      <c r="X155" s="45">
        <f>SUMPRODUCT($E$5:$E$24,($F$5:$F$24/(W155+$F$5:$F$24*(1-W155))-$G$5:$G$24)^2)</f>
        <v/>
      </c>
      <c r="Y155" s="45">
        <f>SUMPRODUCT($L$5:$L$24,($M$5:$M$24/(W155+$M$5:$M$24*(1-W155))-$N$5:$N$24)^2)</f>
        <v/>
      </c>
      <c r="Z155" s="45">
        <f>SUMPRODUCT($S$5:$S$24,($T$5:$T$24/(W155+$T$5:$T$24*(1-W155))-$U$5:$U$24)^2)</f>
        <v/>
      </c>
    </row>
    <row r="156">
      <c r="W156" s="30" t="n">
        <v>0.805</v>
      </c>
      <c r="X156" s="45">
        <f>SUMPRODUCT($E$5:$E$24,($F$5:$F$24/(W156+$F$5:$F$24*(1-W156))-$G$5:$G$24)^2)</f>
        <v/>
      </c>
      <c r="Y156" s="45">
        <f>SUMPRODUCT($L$5:$L$24,($M$5:$M$24/(W156+$M$5:$M$24*(1-W156))-$N$5:$N$24)^2)</f>
        <v/>
      </c>
      <c r="Z156" s="45">
        <f>SUMPRODUCT($S$5:$S$24,($T$5:$T$24/(W156+$T$5:$T$24*(1-W156))-$U$5:$U$24)^2)</f>
        <v/>
      </c>
    </row>
    <row r="157">
      <c r="W157" s="30" t="n">
        <v>0.8100000000000001</v>
      </c>
      <c r="X157" s="45">
        <f>SUMPRODUCT($E$5:$E$24,($F$5:$F$24/(W157+$F$5:$F$24*(1-W157))-$G$5:$G$24)^2)</f>
        <v/>
      </c>
      <c r="Y157" s="45">
        <f>SUMPRODUCT($L$5:$L$24,($M$5:$M$24/(W157+$M$5:$M$24*(1-W157))-$N$5:$N$24)^2)</f>
        <v/>
      </c>
      <c r="Z157" s="45">
        <f>SUMPRODUCT($S$5:$S$24,($T$5:$T$24/(W157+$T$5:$T$24*(1-W157))-$U$5:$U$24)^2)</f>
        <v/>
      </c>
    </row>
    <row r="158">
      <c r="W158" s="30" t="n">
        <v>0.8149999999999999</v>
      </c>
      <c r="X158" s="45">
        <f>SUMPRODUCT($E$5:$E$24,($F$5:$F$24/(W158+$F$5:$F$24*(1-W158))-$G$5:$G$24)^2)</f>
        <v/>
      </c>
      <c r="Y158" s="45">
        <f>SUMPRODUCT($L$5:$L$24,($M$5:$M$24/(W158+$M$5:$M$24*(1-W158))-$N$5:$N$24)^2)</f>
        <v/>
      </c>
      <c r="Z158" s="45">
        <f>SUMPRODUCT($S$5:$S$24,($T$5:$T$24/(W158+$T$5:$T$24*(1-W158))-$U$5:$U$24)^2)</f>
        <v/>
      </c>
    </row>
    <row r="159">
      <c r="W159" s="30" t="n">
        <v>0.82</v>
      </c>
      <c r="X159" s="45">
        <f>SUMPRODUCT($E$5:$E$24,($F$5:$F$24/(W159+$F$5:$F$24*(1-W159))-$G$5:$G$24)^2)</f>
        <v/>
      </c>
      <c r="Y159" s="45">
        <f>SUMPRODUCT($L$5:$L$24,($M$5:$M$24/(W159+$M$5:$M$24*(1-W159))-$N$5:$N$24)^2)</f>
        <v/>
      </c>
      <c r="Z159" s="45">
        <f>SUMPRODUCT($S$5:$S$24,($T$5:$T$24/(W159+$T$5:$T$24*(1-W159))-$U$5:$U$24)^2)</f>
        <v/>
      </c>
    </row>
    <row r="160">
      <c r="W160" s="30" t="n">
        <v>0.825</v>
      </c>
      <c r="X160" s="45">
        <f>SUMPRODUCT($E$5:$E$24,($F$5:$F$24/(W160+$F$5:$F$24*(1-W160))-$G$5:$G$24)^2)</f>
        <v/>
      </c>
      <c r="Y160" s="45">
        <f>SUMPRODUCT($L$5:$L$24,($M$5:$M$24/(W160+$M$5:$M$24*(1-W160))-$N$5:$N$24)^2)</f>
        <v/>
      </c>
      <c r="Z160" s="45">
        <f>SUMPRODUCT($S$5:$S$24,($T$5:$T$24/(W160+$T$5:$T$24*(1-W160))-$U$5:$U$24)^2)</f>
        <v/>
      </c>
    </row>
    <row r="161">
      <c r="W161" s="30" t="n">
        <v>0.83</v>
      </c>
      <c r="X161" s="45">
        <f>SUMPRODUCT($E$5:$E$24,($F$5:$F$24/(W161+$F$5:$F$24*(1-W161))-$G$5:$G$24)^2)</f>
        <v/>
      </c>
      <c r="Y161" s="45">
        <f>SUMPRODUCT($L$5:$L$24,($M$5:$M$24/(W161+$M$5:$M$24*(1-W161))-$N$5:$N$24)^2)</f>
        <v/>
      </c>
      <c r="Z161" s="45">
        <f>SUMPRODUCT($S$5:$S$24,($T$5:$T$24/(W161+$T$5:$T$24*(1-W161))-$U$5:$U$24)^2)</f>
        <v/>
      </c>
    </row>
    <row r="162">
      <c r="W162" s="30" t="n">
        <v>0.835</v>
      </c>
      <c r="X162" s="45">
        <f>SUMPRODUCT($E$5:$E$24,($F$5:$F$24/(W162+$F$5:$F$24*(1-W162))-$G$5:$G$24)^2)</f>
        <v/>
      </c>
      <c r="Y162" s="45">
        <f>SUMPRODUCT($L$5:$L$24,($M$5:$M$24/(W162+$M$5:$M$24*(1-W162))-$N$5:$N$24)^2)</f>
        <v/>
      </c>
      <c r="Z162" s="45">
        <f>SUMPRODUCT($S$5:$S$24,($T$5:$T$24/(W162+$T$5:$T$24*(1-W162))-$U$5:$U$24)^2)</f>
        <v/>
      </c>
    </row>
    <row r="163">
      <c r="W163" s="30" t="n">
        <v>0.84</v>
      </c>
      <c r="X163" s="45">
        <f>SUMPRODUCT($E$5:$E$24,($F$5:$F$24/(W163+$F$5:$F$24*(1-W163))-$G$5:$G$24)^2)</f>
        <v/>
      </c>
      <c r="Y163" s="45">
        <f>SUMPRODUCT($L$5:$L$24,($M$5:$M$24/(W163+$M$5:$M$24*(1-W163))-$N$5:$N$24)^2)</f>
        <v/>
      </c>
      <c r="Z163" s="45">
        <f>SUMPRODUCT($S$5:$S$24,($T$5:$T$24/(W163+$T$5:$T$24*(1-W163))-$U$5:$U$24)^2)</f>
        <v/>
      </c>
    </row>
    <row r="164">
      <c r="W164" s="30" t="n">
        <v>0.845</v>
      </c>
      <c r="X164" s="45">
        <f>SUMPRODUCT($E$5:$E$24,($F$5:$F$24/(W164+$F$5:$F$24*(1-W164))-$G$5:$G$24)^2)</f>
        <v/>
      </c>
      <c r="Y164" s="45">
        <f>SUMPRODUCT($L$5:$L$24,($M$5:$M$24/(W164+$M$5:$M$24*(1-W164))-$N$5:$N$24)^2)</f>
        <v/>
      </c>
      <c r="Z164" s="45">
        <f>SUMPRODUCT($S$5:$S$24,($T$5:$T$24/(W164+$T$5:$T$24*(1-W164))-$U$5:$U$24)^2)</f>
        <v/>
      </c>
    </row>
    <row r="165">
      <c r="W165" s="30" t="n">
        <v>0.85</v>
      </c>
      <c r="X165" s="45">
        <f>SUMPRODUCT($E$5:$E$24,($F$5:$F$24/(W165+$F$5:$F$24*(1-W165))-$G$5:$G$24)^2)</f>
        <v/>
      </c>
      <c r="Y165" s="45">
        <f>SUMPRODUCT($L$5:$L$24,($M$5:$M$24/(W165+$M$5:$M$24*(1-W165))-$N$5:$N$24)^2)</f>
        <v/>
      </c>
      <c r="Z165" s="45">
        <f>SUMPRODUCT($S$5:$S$24,($T$5:$T$24/(W165+$T$5:$T$24*(1-W165))-$U$5:$U$24)^2)</f>
        <v/>
      </c>
    </row>
    <row r="166">
      <c r="W166" s="30" t="n">
        <v>0.855</v>
      </c>
      <c r="X166" s="45">
        <f>SUMPRODUCT($E$5:$E$24,($F$5:$F$24/(W166+$F$5:$F$24*(1-W166))-$G$5:$G$24)^2)</f>
        <v/>
      </c>
      <c r="Y166" s="45">
        <f>SUMPRODUCT($L$5:$L$24,($M$5:$M$24/(W166+$M$5:$M$24*(1-W166))-$N$5:$N$24)^2)</f>
        <v/>
      </c>
      <c r="Z166" s="45">
        <f>SUMPRODUCT($S$5:$S$24,($T$5:$T$24/(W166+$T$5:$T$24*(1-W166))-$U$5:$U$24)^2)</f>
        <v/>
      </c>
    </row>
    <row r="167">
      <c r="W167" s="30" t="n">
        <v>0.86</v>
      </c>
      <c r="X167" s="45">
        <f>SUMPRODUCT($E$5:$E$24,($F$5:$F$24/(W167+$F$5:$F$24*(1-W167))-$G$5:$G$24)^2)</f>
        <v/>
      </c>
      <c r="Y167" s="45">
        <f>SUMPRODUCT($L$5:$L$24,($M$5:$M$24/(W167+$M$5:$M$24*(1-W167))-$N$5:$N$24)^2)</f>
        <v/>
      </c>
      <c r="Z167" s="45">
        <f>SUMPRODUCT($S$5:$S$24,($T$5:$T$24/(W167+$T$5:$T$24*(1-W167))-$U$5:$U$24)^2)</f>
        <v/>
      </c>
    </row>
    <row r="168">
      <c r="W168" s="30" t="n">
        <v>0.865</v>
      </c>
      <c r="X168" s="45">
        <f>SUMPRODUCT($E$5:$E$24,($F$5:$F$24/(W168+$F$5:$F$24*(1-W168))-$G$5:$G$24)^2)</f>
        <v/>
      </c>
      <c r="Y168" s="45">
        <f>SUMPRODUCT($L$5:$L$24,($M$5:$M$24/(W168+$M$5:$M$24*(1-W168))-$N$5:$N$24)^2)</f>
        <v/>
      </c>
      <c r="Z168" s="45">
        <f>SUMPRODUCT($S$5:$S$24,($T$5:$T$24/(W168+$T$5:$T$24*(1-W168))-$U$5:$U$24)^2)</f>
        <v/>
      </c>
    </row>
    <row r="169">
      <c r="W169" s="30" t="n">
        <v>0.87</v>
      </c>
      <c r="X169" s="45">
        <f>SUMPRODUCT($E$5:$E$24,($F$5:$F$24/(W169+$F$5:$F$24*(1-W169))-$G$5:$G$24)^2)</f>
        <v/>
      </c>
      <c r="Y169" s="45">
        <f>SUMPRODUCT($L$5:$L$24,($M$5:$M$24/(W169+$M$5:$M$24*(1-W169))-$N$5:$N$24)^2)</f>
        <v/>
      </c>
      <c r="Z169" s="45">
        <f>SUMPRODUCT($S$5:$S$24,($T$5:$T$24/(W169+$T$5:$T$24*(1-W169))-$U$5:$U$24)^2)</f>
        <v/>
      </c>
    </row>
    <row r="170">
      <c r="W170" s="30" t="n">
        <v>0.875</v>
      </c>
      <c r="X170" s="45">
        <f>SUMPRODUCT($E$5:$E$24,($F$5:$F$24/(W170+$F$5:$F$24*(1-W170))-$G$5:$G$24)^2)</f>
        <v/>
      </c>
      <c r="Y170" s="45">
        <f>SUMPRODUCT($L$5:$L$24,($M$5:$M$24/(W170+$M$5:$M$24*(1-W170))-$N$5:$N$24)^2)</f>
        <v/>
      </c>
      <c r="Z170" s="45">
        <f>SUMPRODUCT($S$5:$S$24,($T$5:$T$24/(W170+$T$5:$T$24*(1-W170))-$U$5:$U$24)^2)</f>
        <v/>
      </c>
    </row>
    <row r="171">
      <c r="W171" s="30" t="n">
        <v>0.88</v>
      </c>
      <c r="X171" s="45">
        <f>SUMPRODUCT($E$5:$E$24,($F$5:$F$24/(W171+$F$5:$F$24*(1-W171))-$G$5:$G$24)^2)</f>
        <v/>
      </c>
      <c r="Y171" s="45">
        <f>SUMPRODUCT($L$5:$L$24,($M$5:$M$24/(W171+$M$5:$M$24*(1-W171))-$N$5:$N$24)^2)</f>
        <v/>
      </c>
      <c r="Z171" s="45">
        <f>SUMPRODUCT($S$5:$S$24,($T$5:$T$24/(W171+$T$5:$T$24*(1-W171))-$U$5:$U$24)^2)</f>
        <v/>
      </c>
    </row>
    <row r="172">
      <c r="W172" s="30" t="n">
        <v>0.885</v>
      </c>
      <c r="X172" s="45">
        <f>SUMPRODUCT($E$5:$E$24,($F$5:$F$24/(W172+$F$5:$F$24*(1-W172))-$G$5:$G$24)^2)</f>
        <v/>
      </c>
      <c r="Y172" s="45">
        <f>SUMPRODUCT($L$5:$L$24,($M$5:$M$24/(W172+$M$5:$M$24*(1-W172))-$N$5:$N$24)^2)</f>
        <v/>
      </c>
      <c r="Z172" s="45">
        <f>SUMPRODUCT($S$5:$S$24,($T$5:$T$24/(W172+$T$5:$T$24*(1-W172))-$U$5:$U$24)^2)</f>
        <v/>
      </c>
    </row>
    <row r="173">
      <c r="W173" s="30" t="n">
        <v>0.89</v>
      </c>
      <c r="X173" s="45">
        <f>SUMPRODUCT($E$5:$E$24,($F$5:$F$24/(W173+$F$5:$F$24*(1-W173))-$G$5:$G$24)^2)</f>
        <v/>
      </c>
      <c r="Y173" s="45">
        <f>SUMPRODUCT($L$5:$L$24,($M$5:$M$24/(W173+$M$5:$M$24*(1-W173))-$N$5:$N$24)^2)</f>
        <v/>
      </c>
      <c r="Z173" s="45">
        <f>SUMPRODUCT($S$5:$S$24,($T$5:$T$24/(W173+$T$5:$T$24*(1-W173))-$U$5:$U$24)^2)</f>
        <v/>
      </c>
    </row>
    <row r="174">
      <c r="W174" s="30" t="n">
        <v>0.895</v>
      </c>
      <c r="X174" s="45">
        <f>SUMPRODUCT($E$5:$E$24,($F$5:$F$24/(W174+$F$5:$F$24*(1-W174))-$G$5:$G$24)^2)</f>
        <v/>
      </c>
      <c r="Y174" s="45">
        <f>SUMPRODUCT($L$5:$L$24,($M$5:$M$24/(W174+$M$5:$M$24*(1-W174))-$N$5:$N$24)^2)</f>
        <v/>
      </c>
      <c r="Z174" s="45">
        <f>SUMPRODUCT($S$5:$S$24,($T$5:$T$24/(W174+$T$5:$T$24*(1-W174))-$U$5:$U$24)^2)</f>
        <v/>
      </c>
    </row>
    <row r="175">
      <c r="W175" s="30" t="n">
        <v>0.9</v>
      </c>
      <c r="X175" s="45">
        <f>SUMPRODUCT($E$5:$E$24,($F$5:$F$24/(W175+$F$5:$F$24*(1-W175))-$G$5:$G$24)^2)</f>
        <v/>
      </c>
      <c r="Y175" s="45">
        <f>SUMPRODUCT($L$5:$L$24,($M$5:$M$24/(W175+$M$5:$M$24*(1-W175))-$N$5:$N$24)^2)</f>
        <v/>
      </c>
      <c r="Z175" s="45">
        <f>SUMPRODUCT($S$5:$S$24,($T$5:$T$24/(W175+$T$5:$T$24*(1-W175))-$U$5:$U$24)^2)</f>
        <v/>
      </c>
    </row>
    <row r="176">
      <c r="W176" s="30" t="n">
        <v>0.905</v>
      </c>
      <c r="X176" s="45">
        <f>SUMPRODUCT($E$5:$E$24,($F$5:$F$24/(W176+$F$5:$F$24*(1-W176))-$G$5:$G$24)^2)</f>
        <v/>
      </c>
      <c r="Y176" s="45">
        <f>SUMPRODUCT($L$5:$L$24,($M$5:$M$24/(W176+$M$5:$M$24*(1-W176))-$N$5:$N$24)^2)</f>
        <v/>
      </c>
      <c r="Z176" s="45">
        <f>SUMPRODUCT($S$5:$S$24,($T$5:$T$24/(W176+$T$5:$T$24*(1-W176))-$U$5:$U$24)^2)</f>
        <v/>
      </c>
    </row>
    <row r="177">
      <c r="W177" s="30" t="n">
        <v>0.91</v>
      </c>
      <c r="X177" s="45">
        <f>SUMPRODUCT($E$5:$E$24,($F$5:$F$24/(W177+$F$5:$F$24*(1-W177))-$G$5:$G$24)^2)</f>
        <v/>
      </c>
      <c r="Y177" s="45">
        <f>SUMPRODUCT($L$5:$L$24,($M$5:$M$24/(W177+$M$5:$M$24*(1-W177))-$N$5:$N$24)^2)</f>
        <v/>
      </c>
      <c r="Z177" s="45">
        <f>SUMPRODUCT($S$5:$S$24,($T$5:$T$24/(W177+$T$5:$T$24*(1-W177))-$U$5:$U$24)^2)</f>
        <v/>
      </c>
    </row>
    <row r="178">
      <c r="W178" s="30" t="n">
        <v>0.915</v>
      </c>
      <c r="X178" s="45">
        <f>SUMPRODUCT($E$5:$E$24,($F$5:$F$24/(W178+$F$5:$F$24*(1-W178))-$G$5:$G$24)^2)</f>
        <v/>
      </c>
      <c r="Y178" s="45">
        <f>SUMPRODUCT($L$5:$L$24,($M$5:$M$24/(W178+$M$5:$M$24*(1-W178))-$N$5:$N$24)^2)</f>
        <v/>
      </c>
      <c r="Z178" s="45">
        <f>SUMPRODUCT($S$5:$S$24,($T$5:$T$24/(W178+$T$5:$T$24*(1-W178))-$U$5:$U$24)^2)</f>
        <v/>
      </c>
    </row>
    <row r="179">
      <c r="W179" s="30" t="n">
        <v>0.92</v>
      </c>
      <c r="X179" s="45">
        <f>SUMPRODUCT($E$5:$E$24,($F$5:$F$24/(W179+$F$5:$F$24*(1-W179))-$G$5:$G$24)^2)</f>
        <v/>
      </c>
      <c r="Y179" s="45">
        <f>SUMPRODUCT($L$5:$L$24,($M$5:$M$24/(W179+$M$5:$M$24*(1-W179))-$N$5:$N$24)^2)</f>
        <v/>
      </c>
      <c r="Z179" s="45">
        <f>SUMPRODUCT($S$5:$S$24,($T$5:$T$24/(W179+$T$5:$T$24*(1-W179))-$U$5:$U$24)^2)</f>
        <v/>
      </c>
    </row>
    <row r="180">
      <c r="W180" s="30" t="n">
        <v>0.925</v>
      </c>
      <c r="X180" s="45">
        <f>SUMPRODUCT($E$5:$E$24,($F$5:$F$24/(W180+$F$5:$F$24*(1-W180))-$G$5:$G$24)^2)</f>
        <v/>
      </c>
      <c r="Y180" s="45">
        <f>SUMPRODUCT($L$5:$L$24,($M$5:$M$24/(W180+$M$5:$M$24*(1-W180))-$N$5:$N$24)^2)</f>
        <v/>
      </c>
      <c r="Z180" s="45">
        <f>SUMPRODUCT($S$5:$S$24,($T$5:$T$24/(W180+$T$5:$T$24*(1-W180))-$U$5:$U$24)^2)</f>
        <v/>
      </c>
    </row>
    <row r="181">
      <c r="W181" s="30" t="n">
        <v>0.93</v>
      </c>
      <c r="X181" s="45">
        <f>SUMPRODUCT($E$5:$E$24,($F$5:$F$24/(W181+$F$5:$F$24*(1-W181))-$G$5:$G$24)^2)</f>
        <v/>
      </c>
      <c r="Y181" s="45">
        <f>SUMPRODUCT($L$5:$L$24,($M$5:$M$24/(W181+$M$5:$M$24*(1-W181))-$N$5:$N$24)^2)</f>
        <v/>
      </c>
      <c r="Z181" s="45">
        <f>SUMPRODUCT($S$5:$S$24,($T$5:$T$24/(W181+$T$5:$T$24*(1-W181))-$U$5:$U$24)^2)</f>
        <v/>
      </c>
    </row>
    <row r="182">
      <c r="W182" s="30" t="n">
        <v>0.9350000000000001</v>
      </c>
      <c r="X182" s="45">
        <f>SUMPRODUCT($E$5:$E$24,($F$5:$F$24/(W182+$F$5:$F$24*(1-W182))-$G$5:$G$24)^2)</f>
        <v/>
      </c>
      <c r="Y182" s="45">
        <f>SUMPRODUCT($L$5:$L$24,($M$5:$M$24/(W182+$M$5:$M$24*(1-W182))-$N$5:$N$24)^2)</f>
        <v/>
      </c>
      <c r="Z182" s="45">
        <f>SUMPRODUCT($S$5:$S$24,($T$5:$T$24/(W182+$T$5:$T$24*(1-W182))-$U$5:$U$24)^2)</f>
        <v/>
      </c>
    </row>
    <row r="183">
      <c r="W183" s="30" t="n">
        <v>0.9399999999999999</v>
      </c>
      <c r="X183" s="45">
        <f>SUMPRODUCT($E$5:$E$24,($F$5:$F$24/(W183+$F$5:$F$24*(1-W183))-$G$5:$G$24)^2)</f>
        <v/>
      </c>
      <c r="Y183" s="45">
        <f>SUMPRODUCT($L$5:$L$24,($M$5:$M$24/(W183+$M$5:$M$24*(1-W183))-$N$5:$N$24)^2)</f>
        <v/>
      </c>
      <c r="Z183" s="45">
        <f>SUMPRODUCT($S$5:$S$24,($T$5:$T$24/(W183+$T$5:$T$24*(1-W183))-$U$5:$U$24)^2)</f>
        <v/>
      </c>
    </row>
    <row r="184">
      <c r="W184" s="30" t="n">
        <v>0.945</v>
      </c>
      <c r="X184" s="45">
        <f>SUMPRODUCT($E$5:$E$24,($F$5:$F$24/(W184+$F$5:$F$24*(1-W184))-$G$5:$G$24)^2)</f>
        <v/>
      </c>
      <c r="Y184" s="45">
        <f>SUMPRODUCT($L$5:$L$24,($M$5:$M$24/(W184+$M$5:$M$24*(1-W184))-$N$5:$N$24)^2)</f>
        <v/>
      </c>
      <c r="Z184" s="45">
        <f>SUMPRODUCT($S$5:$S$24,($T$5:$T$24/(W184+$T$5:$T$24*(1-W184))-$U$5:$U$24)^2)</f>
        <v/>
      </c>
    </row>
    <row r="185">
      <c r="W185" s="30" t="n">
        <v>0.95</v>
      </c>
      <c r="X185" s="45">
        <f>SUMPRODUCT($E$5:$E$24,($F$5:$F$24/(W185+$F$5:$F$24*(1-W185))-$G$5:$G$24)^2)</f>
        <v/>
      </c>
      <c r="Y185" s="45">
        <f>SUMPRODUCT($L$5:$L$24,($M$5:$M$24/(W185+$M$5:$M$24*(1-W185))-$N$5:$N$24)^2)</f>
        <v/>
      </c>
      <c r="Z185" s="45">
        <f>SUMPRODUCT($S$5:$S$24,($T$5:$T$24/(W185+$T$5:$T$24*(1-W185))-$U$5:$U$24)^2)</f>
        <v/>
      </c>
    </row>
    <row r="186">
      <c r="W186" s="30" t="n">
        <v>0.955</v>
      </c>
      <c r="X186" s="45">
        <f>SUMPRODUCT($E$5:$E$24,($F$5:$F$24/(W186+$F$5:$F$24*(1-W186))-$G$5:$G$24)^2)</f>
        <v/>
      </c>
      <c r="Y186" s="45">
        <f>SUMPRODUCT($L$5:$L$24,($M$5:$M$24/(W186+$M$5:$M$24*(1-W186))-$N$5:$N$24)^2)</f>
        <v/>
      </c>
      <c r="Z186" s="45">
        <f>SUMPRODUCT($S$5:$S$24,($T$5:$T$24/(W186+$T$5:$T$24*(1-W186))-$U$5:$U$24)^2)</f>
        <v/>
      </c>
    </row>
    <row r="187">
      <c r="W187" s="30" t="n">
        <v>0.96</v>
      </c>
      <c r="X187" s="45">
        <f>SUMPRODUCT($E$5:$E$24,($F$5:$F$24/(W187+$F$5:$F$24*(1-W187))-$G$5:$G$24)^2)</f>
        <v/>
      </c>
      <c r="Y187" s="45">
        <f>SUMPRODUCT($L$5:$L$24,($M$5:$M$24/(W187+$M$5:$M$24*(1-W187))-$N$5:$N$24)^2)</f>
        <v/>
      </c>
      <c r="Z187" s="45">
        <f>SUMPRODUCT($S$5:$S$24,($T$5:$T$24/(W187+$T$5:$T$24*(1-W187))-$U$5:$U$24)^2)</f>
        <v/>
      </c>
    </row>
    <row r="188">
      <c r="W188" s="30" t="n">
        <v>0.965</v>
      </c>
      <c r="X188" s="45">
        <f>SUMPRODUCT($E$5:$E$24,($F$5:$F$24/(W188+$F$5:$F$24*(1-W188))-$G$5:$G$24)^2)</f>
        <v/>
      </c>
      <c r="Y188" s="45">
        <f>SUMPRODUCT($L$5:$L$24,($M$5:$M$24/(W188+$M$5:$M$24*(1-W188))-$N$5:$N$24)^2)</f>
        <v/>
      </c>
      <c r="Z188" s="45">
        <f>SUMPRODUCT($S$5:$S$24,($T$5:$T$24/(W188+$T$5:$T$24*(1-W188))-$U$5:$U$24)^2)</f>
        <v/>
      </c>
    </row>
    <row r="189">
      <c r="W189" s="30" t="n">
        <v>0.97</v>
      </c>
      <c r="X189" s="45">
        <f>SUMPRODUCT($E$5:$E$24,($F$5:$F$24/(W189+$F$5:$F$24*(1-W189))-$G$5:$G$24)^2)</f>
        <v/>
      </c>
      <c r="Y189" s="45">
        <f>SUMPRODUCT($L$5:$L$24,($M$5:$M$24/(W189+$M$5:$M$24*(1-W189))-$N$5:$N$24)^2)</f>
        <v/>
      </c>
      <c r="Z189" s="45">
        <f>SUMPRODUCT($S$5:$S$24,($T$5:$T$24/(W189+$T$5:$T$24*(1-W189))-$U$5:$U$24)^2)</f>
        <v/>
      </c>
    </row>
    <row r="190">
      <c r="W190" s="30" t="n">
        <v>0.975</v>
      </c>
      <c r="X190" s="45">
        <f>SUMPRODUCT($E$5:$E$24,($F$5:$F$24/(W190+$F$5:$F$24*(1-W190))-$G$5:$G$24)^2)</f>
        <v/>
      </c>
      <c r="Y190" s="45">
        <f>SUMPRODUCT($L$5:$L$24,($M$5:$M$24/(W190+$M$5:$M$24*(1-W190))-$N$5:$N$24)^2)</f>
        <v/>
      </c>
      <c r="Z190" s="45">
        <f>SUMPRODUCT($S$5:$S$24,($T$5:$T$24/(W190+$T$5:$T$24*(1-W190))-$U$5:$U$24)^2)</f>
        <v/>
      </c>
    </row>
    <row r="191">
      <c r="W191" s="30" t="n">
        <v>0.98</v>
      </c>
      <c r="X191" s="45">
        <f>SUMPRODUCT($E$5:$E$24,($F$5:$F$24/(W191+$F$5:$F$24*(1-W191))-$G$5:$G$24)^2)</f>
        <v/>
      </c>
      <c r="Y191" s="45">
        <f>SUMPRODUCT($L$5:$L$24,($M$5:$M$24/(W191+$M$5:$M$24*(1-W191))-$N$5:$N$24)^2)</f>
        <v/>
      </c>
      <c r="Z191" s="45">
        <f>SUMPRODUCT($S$5:$S$24,($T$5:$T$24/(W191+$T$5:$T$24*(1-W191))-$U$5:$U$24)^2)</f>
        <v/>
      </c>
    </row>
    <row r="192">
      <c r="W192" s="30" t="n">
        <v>0.985</v>
      </c>
      <c r="X192" s="45">
        <f>SUMPRODUCT($E$5:$E$24,($F$5:$F$24/(W192+$F$5:$F$24*(1-W192))-$G$5:$G$24)^2)</f>
        <v/>
      </c>
      <c r="Y192" s="45">
        <f>SUMPRODUCT($L$5:$L$24,($M$5:$M$24/(W192+$M$5:$M$24*(1-W192))-$N$5:$N$24)^2)</f>
        <v/>
      </c>
      <c r="Z192" s="45">
        <f>SUMPRODUCT($S$5:$S$24,($T$5:$T$24/(W192+$T$5:$T$24*(1-W192))-$U$5:$U$24)^2)</f>
        <v/>
      </c>
    </row>
    <row r="193">
      <c r="W193" s="30" t="n">
        <v>0.99</v>
      </c>
      <c r="X193" s="45">
        <f>SUMPRODUCT($E$5:$E$24,($F$5:$F$24/(W193+$F$5:$F$24*(1-W193))-$G$5:$G$24)^2)</f>
        <v/>
      </c>
      <c r="Y193" s="45">
        <f>SUMPRODUCT($L$5:$L$24,($M$5:$M$24/(W193+$M$5:$M$24*(1-W193))-$N$5:$N$24)^2)</f>
        <v/>
      </c>
      <c r="Z193" s="45">
        <f>SUMPRODUCT($S$5:$S$24,($T$5:$T$24/(W193+$T$5:$T$24*(1-W193))-$U$5:$U$24)^2)</f>
        <v/>
      </c>
    </row>
    <row r="194">
      <c r="W194" s="30" t="n">
        <v>0.995</v>
      </c>
      <c r="X194" s="45">
        <f>SUMPRODUCT($E$5:$E$24,($F$5:$F$24/(W194+$F$5:$F$24*(1-W194))-$G$5:$G$24)^2)</f>
        <v/>
      </c>
      <c r="Y194" s="45">
        <f>SUMPRODUCT($L$5:$L$24,($M$5:$M$24/(W194+$M$5:$M$24*(1-W194))-$N$5:$N$24)^2)</f>
        <v/>
      </c>
      <c r="Z194" s="45">
        <f>SUMPRODUCT($S$5:$S$24,($T$5:$T$24/(W194+$T$5:$T$24*(1-W194))-$U$5:$U$24)^2)</f>
        <v/>
      </c>
    </row>
    <row r="195">
      <c r="W195" s="30" t="n">
        <v>1</v>
      </c>
      <c r="X195" s="45">
        <f>SUMPRODUCT($E$5:$E$24,($F$5:$F$24/(W195+$F$5:$F$24*(1-W195))-$G$5:$G$24)^2)</f>
        <v/>
      </c>
      <c r="Y195" s="45">
        <f>SUMPRODUCT($L$5:$L$24,($M$5:$M$24/(W195+$M$5:$M$24*(1-W195))-$N$5:$N$24)^2)</f>
        <v/>
      </c>
      <c r="Z195" s="45">
        <f>SUMPRODUCT($S$5:$S$24,($T$5:$T$24/(W195+$T$5:$T$24*(1-W195))-$U$5:$U$24)^2)</f>
        <v/>
      </c>
    </row>
    <row r="196">
      <c r="W196" s="30" t="n">
        <v>1.005</v>
      </c>
      <c r="X196" s="45">
        <f>SUMPRODUCT($E$5:$E$24,($F$5:$F$24/(W196+$F$5:$F$24*(1-W196))-$G$5:$G$24)^2)</f>
        <v/>
      </c>
      <c r="Y196" s="45">
        <f>SUMPRODUCT($L$5:$L$24,($M$5:$M$24/(W196+$M$5:$M$24*(1-W196))-$N$5:$N$24)^2)</f>
        <v/>
      </c>
      <c r="Z196" s="45">
        <f>SUMPRODUCT($S$5:$S$24,($T$5:$T$24/(W196+$T$5:$T$24*(1-W196))-$U$5:$U$24)^2)</f>
        <v/>
      </c>
    </row>
    <row r="197">
      <c r="W197" s="30" t="n">
        <v>1.01</v>
      </c>
      <c r="X197" s="45">
        <f>SUMPRODUCT($E$5:$E$24,($F$5:$F$24/(W197+$F$5:$F$24*(1-W197))-$G$5:$G$24)^2)</f>
        <v/>
      </c>
      <c r="Y197" s="45">
        <f>SUMPRODUCT($L$5:$L$24,($M$5:$M$24/(W197+$M$5:$M$24*(1-W197))-$N$5:$N$24)^2)</f>
        <v/>
      </c>
      <c r="Z197" s="45">
        <f>SUMPRODUCT($S$5:$S$24,($T$5:$T$24/(W197+$T$5:$T$24*(1-W197))-$U$5:$U$24)^2)</f>
        <v/>
      </c>
    </row>
    <row r="198">
      <c r="W198" s="30" t="n">
        <v>1.015</v>
      </c>
      <c r="X198" s="45">
        <f>SUMPRODUCT($E$5:$E$24,($F$5:$F$24/(W198+$F$5:$F$24*(1-W198))-$G$5:$G$24)^2)</f>
        <v/>
      </c>
      <c r="Y198" s="45">
        <f>SUMPRODUCT($L$5:$L$24,($M$5:$M$24/(W198+$M$5:$M$24*(1-W198))-$N$5:$N$24)^2)</f>
        <v/>
      </c>
      <c r="Z198" s="45">
        <f>SUMPRODUCT($S$5:$S$24,($T$5:$T$24/(W198+$T$5:$T$24*(1-W198))-$U$5:$U$24)^2)</f>
        <v/>
      </c>
    </row>
    <row r="199">
      <c r="W199" s="30" t="n">
        <v>1.02</v>
      </c>
      <c r="X199" s="45">
        <f>SUMPRODUCT($E$5:$E$24,($F$5:$F$24/(W199+$F$5:$F$24*(1-W199))-$G$5:$G$24)^2)</f>
        <v/>
      </c>
      <c r="Y199" s="45">
        <f>SUMPRODUCT($L$5:$L$24,($M$5:$M$24/(W199+$M$5:$M$24*(1-W199))-$N$5:$N$24)^2)</f>
        <v/>
      </c>
      <c r="Z199" s="45">
        <f>SUMPRODUCT($S$5:$S$24,($T$5:$T$24/(W199+$T$5:$T$24*(1-W199))-$U$5:$U$24)^2)</f>
        <v/>
      </c>
    </row>
    <row r="200">
      <c r="W200" s="30" t="n">
        <v>1.025</v>
      </c>
      <c r="X200" s="45">
        <f>SUMPRODUCT($E$5:$E$24,($F$5:$F$24/(W200+$F$5:$F$24*(1-W200))-$G$5:$G$24)^2)</f>
        <v/>
      </c>
      <c r="Y200" s="45">
        <f>SUMPRODUCT($L$5:$L$24,($M$5:$M$24/(W200+$M$5:$M$24*(1-W200))-$N$5:$N$24)^2)</f>
        <v/>
      </c>
      <c r="Z200" s="45">
        <f>SUMPRODUCT($S$5:$S$24,($T$5:$T$24/(W200+$T$5:$T$24*(1-W200))-$U$5:$U$24)^2)</f>
        <v/>
      </c>
    </row>
    <row r="201">
      <c r="W201" s="30" t="n">
        <v>1.03</v>
      </c>
      <c r="X201" s="45">
        <f>SUMPRODUCT($E$5:$E$24,($F$5:$F$24/(W201+$F$5:$F$24*(1-W201))-$G$5:$G$24)^2)</f>
        <v/>
      </c>
      <c r="Y201" s="45">
        <f>SUMPRODUCT($L$5:$L$24,($M$5:$M$24/(W201+$M$5:$M$24*(1-W201))-$N$5:$N$24)^2)</f>
        <v/>
      </c>
      <c r="Z201" s="45">
        <f>SUMPRODUCT($S$5:$S$24,($T$5:$T$24/(W201+$T$5:$T$24*(1-W201))-$U$5:$U$24)^2)</f>
        <v/>
      </c>
    </row>
    <row r="202">
      <c r="W202" s="30" t="n">
        <v>1.035</v>
      </c>
      <c r="X202" s="45">
        <f>SUMPRODUCT($E$5:$E$24,($F$5:$F$24/(W202+$F$5:$F$24*(1-W202))-$G$5:$G$24)^2)</f>
        <v/>
      </c>
      <c r="Y202" s="45">
        <f>SUMPRODUCT($L$5:$L$24,($M$5:$M$24/(W202+$M$5:$M$24*(1-W202))-$N$5:$N$24)^2)</f>
        <v/>
      </c>
      <c r="Z202" s="45">
        <f>SUMPRODUCT($S$5:$S$24,($T$5:$T$24/(W202+$T$5:$T$24*(1-W202))-$U$5:$U$24)^2)</f>
        <v/>
      </c>
    </row>
    <row r="203">
      <c r="W203" s="30" t="n">
        <v>1.04</v>
      </c>
      <c r="X203" s="45">
        <f>SUMPRODUCT($E$5:$E$24,($F$5:$F$24/(W203+$F$5:$F$24*(1-W203))-$G$5:$G$24)^2)</f>
        <v/>
      </c>
      <c r="Y203" s="45">
        <f>SUMPRODUCT($L$5:$L$24,($M$5:$M$24/(W203+$M$5:$M$24*(1-W203))-$N$5:$N$24)^2)</f>
        <v/>
      </c>
      <c r="Z203" s="45">
        <f>SUMPRODUCT($S$5:$S$24,($T$5:$T$24/(W203+$T$5:$T$24*(1-W203))-$U$5:$U$24)^2)</f>
        <v/>
      </c>
    </row>
    <row r="204">
      <c r="W204" s="30" t="n">
        <v>1.045</v>
      </c>
      <c r="X204" s="45">
        <f>SUMPRODUCT($E$5:$E$24,($F$5:$F$24/(W204+$F$5:$F$24*(1-W204))-$G$5:$G$24)^2)</f>
        <v/>
      </c>
      <c r="Y204" s="45">
        <f>SUMPRODUCT($L$5:$L$24,($M$5:$M$24/(W204+$M$5:$M$24*(1-W204))-$N$5:$N$24)^2)</f>
        <v/>
      </c>
      <c r="Z204" s="45">
        <f>SUMPRODUCT($S$5:$S$24,($T$5:$T$24/(W204+$T$5:$T$24*(1-W204))-$U$5:$U$24)^2)</f>
        <v/>
      </c>
    </row>
    <row r="205">
      <c r="W205" s="30" t="n">
        <v>1.05</v>
      </c>
      <c r="X205" s="45">
        <f>SUMPRODUCT($E$5:$E$24,($F$5:$F$24/(W205+$F$5:$F$24*(1-W205))-$G$5:$G$24)^2)</f>
        <v/>
      </c>
      <c r="Y205" s="45">
        <f>SUMPRODUCT($L$5:$L$24,($M$5:$M$24/(W205+$M$5:$M$24*(1-W205))-$N$5:$N$24)^2)</f>
        <v/>
      </c>
      <c r="Z205" s="45">
        <f>SUMPRODUCT($S$5:$S$24,($T$5:$T$24/(W205+$T$5:$T$24*(1-W205))-$U$5:$U$24)^2)</f>
        <v/>
      </c>
    </row>
    <row r="206">
      <c r="W206" s="30" t="n">
        <v>1.055</v>
      </c>
      <c r="X206" s="45">
        <f>SUMPRODUCT($E$5:$E$24,($F$5:$F$24/(W206+$F$5:$F$24*(1-W206))-$G$5:$G$24)^2)</f>
        <v/>
      </c>
      <c r="Y206" s="45">
        <f>SUMPRODUCT($L$5:$L$24,($M$5:$M$24/(W206+$M$5:$M$24*(1-W206))-$N$5:$N$24)^2)</f>
        <v/>
      </c>
      <c r="Z206" s="45">
        <f>SUMPRODUCT($S$5:$S$24,($T$5:$T$24/(W206+$T$5:$T$24*(1-W206))-$U$5:$U$24)^2)</f>
        <v/>
      </c>
    </row>
    <row r="207">
      <c r="W207" s="30" t="n">
        <v>1.06</v>
      </c>
      <c r="X207" s="45">
        <f>SUMPRODUCT($E$5:$E$24,($F$5:$F$24/(W207+$F$5:$F$24*(1-W207))-$G$5:$G$24)^2)</f>
        <v/>
      </c>
      <c r="Y207" s="45">
        <f>SUMPRODUCT($L$5:$L$24,($M$5:$M$24/(W207+$M$5:$M$24*(1-W207))-$N$5:$N$24)^2)</f>
        <v/>
      </c>
      <c r="Z207" s="45">
        <f>SUMPRODUCT($S$5:$S$24,($T$5:$T$24/(W207+$T$5:$T$24*(1-W207))-$U$5:$U$24)^2)</f>
        <v/>
      </c>
    </row>
    <row r="208">
      <c r="W208" s="30" t="n">
        <v>1.065</v>
      </c>
      <c r="X208" s="45">
        <f>SUMPRODUCT($E$5:$E$24,($F$5:$F$24/(W208+$F$5:$F$24*(1-W208))-$G$5:$G$24)^2)</f>
        <v/>
      </c>
      <c r="Y208" s="45">
        <f>SUMPRODUCT($L$5:$L$24,($M$5:$M$24/(W208+$M$5:$M$24*(1-W208))-$N$5:$N$24)^2)</f>
        <v/>
      </c>
      <c r="Z208" s="45">
        <f>SUMPRODUCT($S$5:$S$24,($T$5:$T$24/(W208+$T$5:$T$24*(1-W208))-$U$5:$U$24)^2)</f>
        <v/>
      </c>
    </row>
    <row r="209">
      <c r="W209" s="30" t="n">
        <v>1.07</v>
      </c>
      <c r="X209" s="45">
        <f>SUMPRODUCT($E$5:$E$24,($F$5:$F$24/(W209+$F$5:$F$24*(1-W209))-$G$5:$G$24)^2)</f>
        <v/>
      </c>
      <c r="Y209" s="45">
        <f>SUMPRODUCT($L$5:$L$24,($M$5:$M$24/(W209+$M$5:$M$24*(1-W209))-$N$5:$N$24)^2)</f>
        <v/>
      </c>
      <c r="Z209" s="45">
        <f>SUMPRODUCT($S$5:$S$24,($T$5:$T$24/(W209+$T$5:$T$24*(1-W209))-$U$5:$U$24)^2)</f>
        <v/>
      </c>
    </row>
    <row r="210">
      <c r="W210" s="30" t="n">
        <v>1.075</v>
      </c>
      <c r="X210" s="45">
        <f>SUMPRODUCT($E$5:$E$24,($F$5:$F$24/(W210+$F$5:$F$24*(1-W210))-$G$5:$G$24)^2)</f>
        <v/>
      </c>
      <c r="Y210" s="45">
        <f>SUMPRODUCT($L$5:$L$24,($M$5:$M$24/(W210+$M$5:$M$24*(1-W210))-$N$5:$N$24)^2)</f>
        <v/>
      </c>
      <c r="Z210" s="45">
        <f>SUMPRODUCT($S$5:$S$24,($T$5:$T$24/(W210+$T$5:$T$24*(1-W210))-$U$5:$U$24)^2)</f>
        <v/>
      </c>
    </row>
    <row r="211">
      <c r="W211" s="30" t="n">
        <v>1.08</v>
      </c>
      <c r="X211" s="45">
        <f>SUMPRODUCT($E$5:$E$24,($F$5:$F$24/(W211+$F$5:$F$24*(1-W211))-$G$5:$G$24)^2)</f>
        <v/>
      </c>
      <c r="Y211" s="45">
        <f>SUMPRODUCT($L$5:$L$24,($M$5:$M$24/(W211+$M$5:$M$24*(1-W211))-$N$5:$N$24)^2)</f>
        <v/>
      </c>
      <c r="Z211" s="45">
        <f>SUMPRODUCT($S$5:$S$24,($T$5:$T$24/(W211+$T$5:$T$24*(1-W211))-$U$5:$U$24)^2)</f>
        <v/>
      </c>
    </row>
    <row r="212">
      <c r="W212" s="30" t="n">
        <v>1.085</v>
      </c>
      <c r="X212" s="45">
        <f>SUMPRODUCT($E$5:$E$24,($F$5:$F$24/(W212+$F$5:$F$24*(1-W212))-$G$5:$G$24)^2)</f>
        <v/>
      </c>
      <c r="Y212" s="45">
        <f>SUMPRODUCT($L$5:$L$24,($M$5:$M$24/(W212+$M$5:$M$24*(1-W212))-$N$5:$N$24)^2)</f>
        <v/>
      </c>
      <c r="Z212" s="45">
        <f>SUMPRODUCT($S$5:$S$24,($T$5:$T$24/(W212+$T$5:$T$24*(1-W212))-$U$5:$U$24)^2)</f>
        <v/>
      </c>
    </row>
    <row r="213">
      <c r="W213" s="30" t="n">
        <v>1.09</v>
      </c>
      <c r="X213" s="45">
        <f>SUMPRODUCT($E$5:$E$24,($F$5:$F$24/(W213+$F$5:$F$24*(1-W213))-$G$5:$G$24)^2)</f>
        <v/>
      </c>
      <c r="Y213" s="45">
        <f>SUMPRODUCT($L$5:$L$24,($M$5:$M$24/(W213+$M$5:$M$24*(1-W213))-$N$5:$N$24)^2)</f>
        <v/>
      </c>
      <c r="Z213" s="45">
        <f>SUMPRODUCT($S$5:$S$24,($T$5:$T$24/(W213+$T$5:$T$24*(1-W213))-$U$5:$U$24)^2)</f>
        <v/>
      </c>
    </row>
    <row r="214">
      <c r="W214" s="30" t="n">
        <v>1.095</v>
      </c>
      <c r="X214" s="45">
        <f>SUMPRODUCT($E$5:$E$24,($F$5:$F$24/(W214+$F$5:$F$24*(1-W214))-$G$5:$G$24)^2)</f>
        <v/>
      </c>
      <c r="Y214" s="45">
        <f>SUMPRODUCT($L$5:$L$24,($M$5:$M$24/(W214+$M$5:$M$24*(1-W214))-$N$5:$N$24)^2)</f>
        <v/>
      </c>
      <c r="Z214" s="45">
        <f>SUMPRODUCT($S$5:$S$24,($T$5:$T$24/(W214+$T$5:$T$24*(1-W214))-$U$5:$U$24)^2)</f>
        <v/>
      </c>
    </row>
    <row r="215">
      <c r="W215" s="30" t="n">
        <v>1.1</v>
      </c>
      <c r="X215" s="45">
        <f>SUMPRODUCT($E$5:$E$24,($F$5:$F$24/(W215+$F$5:$F$24*(1-W215))-$G$5:$G$24)^2)</f>
        <v/>
      </c>
      <c r="Y215" s="45">
        <f>SUMPRODUCT($L$5:$L$24,($M$5:$M$24/(W215+$M$5:$M$24*(1-W215))-$N$5:$N$24)^2)</f>
        <v/>
      </c>
      <c r="Z215" s="45">
        <f>SUMPRODUCT($S$5:$S$24,($T$5:$T$24/(W215+$T$5:$T$24*(1-W215))-$U$5:$U$24)^2)</f>
        <v/>
      </c>
    </row>
    <row r="216">
      <c r="W216" s="30" t="n">
        <v>1.105</v>
      </c>
      <c r="X216" s="45">
        <f>SUMPRODUCT($E$5:$E$24,($F$5:$F$24/(W216+$F$5:$F$24*(1-W216))-$G$5:$G$24)^2)</f>
        <v/>
      </c>
      <c r="Y216" s="45">
        <f>SUMPRODUCT($L$5:$L$24,($M$5:$M$24/(W216+$M$5:$M$24*(1-W216))-$N$5:$N$24)^2)</f>
        <v/>
      </c>
      <c r="Z216" s="45">
        <f>SUMPRODUCT($S$5:$S$24,($T$5:$T$24/(W216+$T$5:$T$24*(1-W216))-$U$5:$U$24)^2)</f>
        <v/>
      </c>
    </row>
    <row r="217">
      <c r="W217" s="30" t="n">
        <v>1.11</v>
      </c>
      <c r="X217" s="45">
        <f>SUMPRODUCT($E$5:$E$24,($F$5:$F$24/(W217+$F$5:$F$24*(1-W217))-$G$5:$G$24)^2)</f>
        <v/>
      </c>
      <c r="Y217" s="45">
        <f>SUMPRODUCT($L$5:$L$24,($M$5:$M$24/(W217+$M$5:$M$24*(1-W217))-$N$5:$N$24)^2)</f>
        <v/>
      </c>
      <c r="Z217" s="45">
        <f>SUMPRODUCT($S$5:$S$24,($T$5:$T$24/(W217+$T$5:$T$24*(1-W217))-$U$5:$U$24)^2)</f>
        <v/>
      </c>
    </row>
    <row r="218">
      <c r="W218" s="30" t="n">
        <v>1.115</v>
      </c>
      <c r="X218" s="45">
        <f>SUMPRODUCT($E$5:$E$24,($F$5:$F$24/(W218+$F$5:$F$24*(1-W218))-$G$5:$G$24)^2)</f>
        <v/>
      </c>
      <c r="Y218" s="45">
        <f>SUMPRODUCT($L$5:$L$24,($M$5:$M$24/(W218+$M$5:$M$24*(1-W218))-$N$5:$N$24)^2)</f>
        <v/>
      </c>
      <c r="Z218" s="45">
        <f>SUMPRODUCT($S$5:$S$24,($T$5:$T$24/(W218+$T$5:$T$24*(1-W218))-$U$5:$U$24)^2)</f>
        <v/>
      </c>
    </row>
    <row r="219">
      <c r="W219" s="30" t="n">
        <v>1.12</v>
      </c>
      <c r="X219" s="45">
        <f>SUMPRODUCT($E$5:$E$24,($F$5:$F$24/(W219+$F$5:$F$24*(1-W219))-$G$5:$G$24)^2)</f>
        <v/>
      </c>
      <c r="Y219" s="45">
        <f>SUMPRODUCT($L$5:$L$24,($M$5:$M$24/(W219+$M$5:$M$24*(1-W219))-$N$5:$N$24)^2)</f>
        <v/>
      </c>
      <c r="Z219" s="45">
        <f>SUMPRODUCT($S$5:$S$24,($T$5:$T$24/(W219+$T$5:$T$24*(1-W219))-$U$5:$U$24)^2)</f>
        <v/>
      </c>
    </row>
    <row r="220">
      <c r="W220" s="30" t="n">
        <v>1.125</v>
      </c>
      <c r="X220" s="45">
        <f>SUMPRODUCT($E$5:$E$24,($F$5:$F$24/(W220+$F$5:$F$24*(1-W220))-$G$5:$G$24)^2)</f>
        <v/>
      </c>
      <c r="Y220" s="45">
        <f>SUMPRODUCT($L$5:$L$24,($M$5:$M$24/(W220+$M$5:$M$24*(1-W220))-$N$5:$N$24)^2)</f>
        <v/>
      </c>
      <c r="Z220" s="45">
        <f>SUMPRODUCT($S$5:$S$24,($T$5:$T$24/(W220+$T$5:$T$24*(1-W220))-$U$5:$U$24)^2)</f>
        <v/>
      </c>
    </row>
    <row r="221">
      <c r="W221" s="30" t="n">
        <v>1.13</v>
      </c>
      <c r="X221" s="45">
        <f>SUMPRODUCT($E$5:$E$24,($F$5:$F$24/(W221+$F$5:$F$24*(1-W221))-$G$5:$G$24)^2)</f>
        <v/>
      </c>
      <c r="Y221" s="45">
        <f>SUMPRODUCT($L$5:$L$24,($M$5:$M$24/(W221+$M$5:$M$24*(1-W221))-$N$5:$N$24)^2)</f>
        <v/>
      </c>
      <c r="Z221" s="45">
        <f>SUMPRODUCT($S$5:$S$24,($T$5:$T$24/(W221+$T$5:$T$24*(1-W221))-$U$5:$U$24)^2)</f>
        <v/>
      </c>
    </row>
    <row r="222">
      <c r="W222" s="30" t="n">
        <v>1.135</v>
      </c>
      <c r="X222" s="45">
        <f>SUMPRODUCT($E$5:$E$24,($F$5:$F$24/(W222+$F$5:$F$24*(1-W222))-$G$5:$G$24)^2)</f>
        <v/>
      </c>
      <c r="Y222" s="45">
        <f>SUMPRODUCT($L$5:$L$24,($M$5:$M$24/(W222+$M$5:$M$24*(1-W222))-$N$5:$N$24)^2)</f>
        <v/>
      </c>
      <c r="Z222" s="45">
        <f>SUMPRODUCT($S$5:$S$24,($T$5:$T$24/(W222+$T$5:$T$24*(1-W222))-$U$5:$U$24)^2)</f>
        <v/>
      </c>
    </row>
    <row r="223">
      <c r="W223" s="30" t="n">
        <v>1.14</v>
      </c>
      <c r="X223" s="45">
        <f>SUMPRODUCT($E$5:$E$24,($F$5:$F$24/(W223+$F$5:$F$24*(1-W223))-$G$5:$G$24)^2)</f>
        <v/>
      </c>
      <c r="Y223" s="45">
        <f>SUMPRODUCT($L$5:$L$24,($M$5:$M$24/(W223+$M$5:$M$24*(1-W223))-$N$5:$N$24)^2)</f>
        <v/>
      </c>
      <c r="Z223" s="45">
        <f>SUMPRODUCT($S$5:$S$24,($T$5:$T$24/(W223+$T$5:$T$24*(1-W223))-$U$5:$U$24)^2)</f>
        <v/>
      </c>
    </row>
    <row r="224">
      <c r="W224" s="30" t="n">
        <v>1.145</v>
      </c>
      <c r="X224" s="45">
        <f>SUMPRODUCT($E$5:$E$24,($F$5:$F$24/(W224+$F$5:$F$24*(1-W224))-$G$5:$G$24)^2)</f>
        <v/>
      </c>
      <c r="Y224" s="45">
        <f>SUMPRODUCT($L$5:$L$24,($M$5:$M$24/(W224+$M$5:$M$24*(1-W224))-$N$5:$N$24)^2)</f>
        <v/>
      </c>
      <c r="Z224" s="45">
        <f>SUMPRODUCT($S$5:$S$24,($T$5:$T$24/(W224+$T$5:$T$24*(1-W224))-$U$5:$U$24)^2)</f>
        <v/>
      </c>
    </row>
    <row r="225">
      <c r="W225" s="30" t="n">
        <v>1.15</v>
      </c>
      <c r="X225" s="45">
        <f>SUMPRODUCT($E$5:$E$24,($F$5:$F$24/(W225+$F$5:$F$24*(1-W225))-$G$5:$G$24)^2)</f>
        <v/>
      </c>
      <c r="Y225" s="45">
        <f>SUMPRODUCT($L$5:$L$24,($M$5:$M$24/(W225+$M$5:$M$24*(1-W225))-$N$5:$N$24)^2)</f>
        <v/>
      </c>
      <c r="Z225" s="45">
        <f>SUMPRODUCT($S$5:$S$24,($T$5:$T$24/(W225+$T$5:$T$24*(1-W225))-$U$5:$U$24)^2)</f>
        <v/>
      </c>
    </row>
    <row r="226">
      <c r="W226" s="30" t="n">
        <v>1.155</v>
      </c>
      <c r="X226" s="45">
        <f>SUMPRODUCT($E$5:$E$24,($F$5:$F$24/(W226+$F$5:$F$24*(1-W226))-$G$5:$G$24)^2)</f>
        <v/>
      </c>
      <c r="Y226" s="45">
        <f>SUMPRODUCT($L$5:$L$24,($M$5:$M$24/(W226+$M$5:$M$24*(1-W226))-$N$5:$N$24)^2)</f>
        <v/>
      </c>
      <c r="Z226" s="45">
        <f>SUMPRODUCT($S$5:$S$24,($T$5:$T$24/(W226+$T$5:$T$24*(1-W226))-$U$5:$U$24)^2)</f>
        <v/>
      </c>
    </row>
    <row r="227">
      <c r="W227" s="30" t="n">
        <v>1.16</v>
      </c>
      <c r="X227" s="45">
        <f>SUMPRODUCT($E$5:$E$24,($F$5:$F$24/(W227+$F$5:$F$24*(1-W227))-$G$5:$G$24)^2)</f>
        <v/>
      </c>
      <c r="Y227" s="45">
        <f>SUMPRODUCT($L$5:$L$24,($M$5:$M$24/(W227+$M$5:$M$24*(1-W227))-$N$5:$N$24)^2)</f>
        <v/>
      </c>
      <c r="Z227" s="45">
        <f>SUMPRODUCT($S$5:$S$24,($T$5:$T$24/(W227+$T$5:$T$24*(1-W227))-$U$5:$U$24)^2)</f>
        <v/>
      </c>
    </row>
    <row r="228">
      <c r="W228" s="30" t="n">
        <v>1.165</v>
      </c>
      <c r="X228" s="45">
        <f>SUMPRODUCT($E$5:$E$24,($F$5:$F$24/(W228+$F$5:$F$24*(1-W228))-$G$5:$G$24)^2)</f>
        <v/>
      </c>
      <c r="Y228" s="45">
        <f>SUMPRODUCT($L$5:$L$24,($M$5:$M$24/(W228+$M$5:$M$24*(1-W228))-$N$5:$N$24)^2)</f>
        <v/>
      </c>
      <c r="Z228" s="45">
        <f>SUMPRODUCT($S$5:$S$24,($T$5:$T$24/(W228+$T$5:$T$24*(1-W228))-$U$5:$U$24)^2)</f>
        <v/>
      </c>
    </row>
    <row r="229">
      <c r="W229" s="30" t="n">
        <v>1.17</v>
      </c>
      <c r="X229" s="45">
        <f>SUMPRODUCT($E$5:$E$24,($F$5:$F$24/(W229+$F$5:$F$24*(1-W229))-$G$5:$G$24)^2)</f>
        <v/>
      </c>
      <c r="Y229" s="45">
        <f>SUMPRODUCT($L$5:$L$24,($M$5:$M$24/(W229+$M$5:$M$24*(1-W229))-$N$5:$N$24)^2)</f>
        <v/>
      </c>
      <c r="Z229" s="45">
        <f>SUMPRODUCT($S$5:$S$24,($T$5:$T$24/(W229+$T$5:$T$24*(1-W229))-$U$5:$U$24)^2)</f>
        <v/>
      </c>
    </row>
    <row r="230">
      <c r="W230" s="30" t="n">
        <v>1.175</v>
      </c>
      <c r="X230" s="45">
        <f>SUMPRODUCT($E$5:$E$24,($F$5:$F$24/(W230+$F$5:$F$24*(1-W230))-$G$5:$G$24)^2)</f>
        <v/>
      </c>
      <c r="Y230" s="45">
        <f>SUMPRODUCT($L$5:$L$24,($M$5:$M$24/(W230+$M$5:$M$24*(1-W230))-$N$5:$N$24)^2)</f>
        <v/>
      </c>
      <c r="Z230" s="45">
        <f>SUMPRODUCT($S$5:$S$24,($T$5:$T$24/(W230+$T$5:$T$24*(1-W230))-$U$5:$U$24)^2)</f>
        <v/>
      </c>
    </row>
    <row r="231">
      <c r="W231" s="30" t="n">
        <v>1.18</v>
      </c>
      <c r="X231" s="45">
        <f>SUMPRODUCT($E$5:$E$24,($F$5:$F$24/(W231+$F$5:$F$24*(1-W231))-$G$5:$G$24)^2)</f>
        <v/>
      </c>
      <c r="Y231" s="45">
        <f>SUMPRODUCT($L$5:$L$24,($M$5:$M$24/(W231+$M$5:$M$24*(1-W231))-$N$5:$N$24)^2)</f>
        <v/>
      </c>
      <c r="Z231" s="45">
        <f>SUMPRODUCT($S$5:$S$24,($T$5:$T$24/(W231+$T$5:$T$24*(1-W231))-$U$5:$U$24)^2)</f>
        <v/>
      </c>
    </row>
    <row r="232">
      <c r="W232" s="30" t="n">
        <v>1.185</v>
      </c>
      <c r="X232" s="45">
        <f>SUMPRODUCT($E$5:$E$24,($F$5:$F$24/(W232+$F$5:$F$24*(1-W232))-$G$5:$G$24)^2)</f>
        <v/>
      </c>
      <c r="Y232" s="45">
        <f>SUMPRODUCT($L$5:$L$24,($M$5:$M$24/(W232+$M$5:$M$24*(1-W232))-$N$5:$N$24)^2)</f>
        <v/>
      </c>
      <c r="Z232" s="45">
        <f>SUMPRODUCT($S$5:$S$24,($T$5:$T$24/(W232+$T$5:$T$24*(1-W232))-$U$5:$U$24)^2)</f>
        <v/>
      </c>
    </row>
    <row r="233">
      <c r="W233" s="30" t="n">
        <v>1.19</v>
      </c>
      <c r="X233" s="45">
        <f>SUMPRODUCT($E$5:$E$24,($F$5:$F$24/(W233+$F$5:$F$24*(1-W233))-$G$5:$G$24)^2)</f>
        <v/>
      </c>
      <c r="Y233" s="45">
        <f>SUMPRODUCT($L$5:$L$24,($M$5:$M$24/(W233+$M$5:$M$24*(1-W233))-$N$5:$N$24)^2)</f>
        <v/>
      </c>
      <c r="Z233" s="45">
        <f>SUMPRODUCT($S$5:$S$24,($T$5:$T$24/(W233+$T$5:$T$24*(1-W233))-$U$5:$U$24)^2)</f>
        <v/>
      </c>
    </row>
    <row r="234">
      <c r="W234" s="30" t="n">
        <v>1.195</v>
      </c>
      <c r="X234" s="45">
        <f>SUMPRODUCT($E$5:$E$24,($F$5:$F$24/(W234+$F$5:$F$24*(1-W234))-$G$5:$G$24)^2)</f>
        <v/>
      </c>
      <c r="Y234" s="45">
        <f>SUMPRODUCT($L$5:$L$24,($M$5:$M$24/(W234+$M$5:$M$24*(1-W234))-$N$5:$N$24)^2)</f>
        <v/>
      </c>
      <c r="Z234" s="45">
        <f>SUMPRODUCT($S$5:$S$24,($T$5:$T$24/(W234+$T$5:$T$24*(1-W234))-$U$5:$U$24)^2)</f>
        <v/>
      </c>
    </row>
    <row r="235">
      <c r="W235" s="30" t="n">
        <v>1.2</v>
      </c>
      <c r="X235" s="45">
        <f>SUMPRODUCT($E$5:$E$24,($F$5:$F$24/(W235+$F$5:$F$24*(1-W235))-$G$5:$G$24)^2)</f>
        <v/>
      </c>
      <c r="Y235" s="45">
        <f>SUMPRODUCT($L$5:$L$24,($M$5:$M$24/(W235+$M$5:$M$24*(1-W235))-$N$5:$N$24)^2)</f>
        <v/>
      </c>
      <c r="Z235" s="45">
        <f>SUMPRODUCT($S$5:$S$24,($T$5:$T$24/(W235+$T$5:$T$24*(1-W235))-$U$5:$U$24)^2)</f>
        <v/>
      </c>
    </row>
    <row r="236">
      <c r="W236" s="30" t="n">
        <v>1.205</v>
      </c>
      <c r="X236" s="45">
        <f>SUMPRODUCT($E$5:$E$24,($F$5:$F$24/(W236+$F$5:$F$24*(1-W236))-$G$5:$G$24)^2)</f>
        <v/>
      </c>
      <c r="Y236" s="45">
        <f>SUMPRODUCT($L$5:$L$24,($M$5:$M$24/(W236+$M$5:$M$24*(1-W236))-$N$5:$N$24)^2)</f>
        <v/>
      </c>
      <c r="Z236" s="45">
        <f>SUMPRODUCT($S$5:$S$24,($T$5:$T$24/(W236+$T$5:$T$24*(1-W236))-$U$5:$U$24)^2)</f>
        <v/>
      </c>
    </row>
    <row r="237">
      <c r="W237" s="30" t="n">
        <v>1.21</v>
      </c>
      <c r="X237" s="45">
        <f>SUMPRODUCT($E$5:$E$24,($F$5:$F$24/(W237+$F$5:$F$24*(1-W237))-$G$5:$G$24)^2)</f>
        <v/>
      </c>
      <c r="Y237" s="45">
        <f>SUMPRODUCT($L$5:$L$24,($M$5:$M$24/(W237+$M$5:$M$24*(1-W237))-$N$5:$N$24)^2)</f>
        <v/>
      </c>
      <c r="Z237" s="45">
        <f>SUMPRODUCT($S$5:$S$24,($T$5:$T$24/(W237+$T$5:$T$24*(1-W237))-$U$5:$U$24)^2)</f>
        <v/>
      </c>
    </row>
    <row r="238">
      <c r="W238" s="30" t="n">
        <v>1.215</v>
      </c>
      <c r="X238" s="45">
        <f>SUMPRODUCT($E$5:$E$24,($F$5:$F$24/(W238+$F$5:$F$24*(1-W238))-$G$5:$G$24)^2)</f>
        <v/>
      </c>
      <c r="Y238" s="45">
        <f>SUMPRODUCT($L$5:$L$24,($M$5:$M$24/(W238+$M$5:$M$24*(1-W238))-$N$5:$N$24)^2)</f>
        <v/>
      </c>
      <c r="Z238" s="45">
        <f>SUMPRODUCT($S$5:$S$24,($T$5:$T$24/(W238+$T$5:$T$24*(1-W238))-$U$5:$U$24)^2)</f>
        <v/>
      </c>
    </row>
    <row r="239">
      <c r="W239" s="30" t="n">
        <v>1.22</v>
      </c>
      <c r="X239" s="45">
        <f>SUMPRODUCT($E$5:$E$24,($F$5:$F$24/(W239+$F$5:$F$24*(1-W239))-$G$5:$G$24)^2)</f>
        <v/>
      </c>
      <c r="Y239" s="45">
        <f>SUMPRODUCT($L$5:$L$24,($M$5:$M$24/(W239+$M$5:$M$24*(1-W239))-$N$5:$N$24)^2)</f>
        <v/>
      </c>
      <c r="Z239" s="45">
        <f>SUMPRODUCT($S$5:$S$24,($T$5:$T$24/(W239+$T$5:$T$24*(1-W239))-$U$5:$U$24)^2)</f>
        <v/>
      </c>
    </row>
    <row r="240">
      <c r="W240" s="30" t="n">
        <v>1.225</v>
      </c>
      <c r="X240" s="45">
        <f>SUMPRODUCT($E$5:$E$24,($F$5:$F$24/(W240+$F$5:$F$24*(1-W240))-$G$5:$G$24)^2)</f>
        <v/>
      </c>
      <c r="Y240" s="45">
        <f>SUMPRODUCT($L$5:$L$24,($M$5:$M$24/(W240+$M$5:$M$24*(1-W240))-$N$5:$N$24)^2)</f>
        <v/>
      </c>
      <c r="Z240" s="45">
        <f>SUMPRODUCT($S$5:$S$24,($T$5:$T$24/(W240+$T$5:$T$24*(1-W240))-$U$5:$U$24)^2)</f>
        <v/>
      </c>
    </row>
    <row r="241">
      <c r="W241" s="30" t="n">
        <v>1.23</v>
      </c>
      <c r="X241" s="45">
        <f>SUMPRODUCT($E$5:$E$24,($F$5:$F$24/(W241+$F$5:$F$24*(1-W241))-$G$5:$G$24)^2)</f>
        <v/>
      </c>
      <c r="Y241" s="45">
        <f>SUMPRODUCT($L$5:$L$24,($M$5:$M$24/(W241+$M$5:$M$24*(1-W241))-$N$5:$N$24)^2)</f>
        <v/>
      </c>
      <c r="Z241" s="45">
        <f>SUMPRODUCT($S$5:$S$24,($T$5:$T$24/(W241+$T$5:$T$24*(1-W241))-$U$5:$U$24)^2)</f>
        <v/>
      </c>
    </row>
    <row r="242">
      <c r="W242" s="30" t="n">
        <v>1.235</v>
      </c>
      <c r="X242" s="45">
        <f>SUMPRODUCT($E$5:$E$24,($F$5:$F$24/(W242+$F$5:$F$24*(1-W242))-$G$5:$G$24)^2)</f>
        <v/>
      </c>
      <c r="Y242" s="45">
        <f>SUMPRODUCT($L$5:$L$24,($M$5:$M$24/(W242+$M$5:$M$24*(1-W242))-$N$5:$N$24)^2)</f>
        <v/>
      </c>
      <c r="Z242" s="45">
        <f>SUMPRODUCT($S$5:$S$24,($T$5:$T$24/(W242+$T$5:$T$24*(1-W242))-$U$5:$U$24)^2)</f>
        <v/>
      </c>
    </row>
    <row r="243">
      <c r="W243" s="30" t="n">
        <v>1.24</v>
      </c>
      <c r="X243" s="45">
        <f>SUMPRODUCT($E$5:$E$24,($F$5:$F$24/(W243+$F$5:$F$24*(1-W243))-$G$5:$G$24)^2)</f>
        <v/>
      </c>
      <c r="Y243" s="45">
        <f>SUMPRODUCT($L$5:$L$24,($M$5:$M$24/(W243+$M$5:$M$24*(1-W243))-$N$5:$N$24)^2)</f>
        <v/>
      </c>
      <c r="Z243" s="45">
        <f>SUMPRODUCT($S$5:$S$24,($T$5:$T$24/(W243+$T$5:$T$24*(1-W243))-$U$5:$U$24)^2)</f>
        <v/>
      </c>
    </row>
    <row r="244">
      <c r="W244" s="30" t="n">
        <v>1.245</v>
      </c>
      <c r="X244" s="45">
        <f>SUMPRODUCT($E$5:$E$24,($F$5:$F$24/(W244+$F$5:$F$24*(1-W244))-$G$5:$G$24)^2)</f>
        <v/>
      </c>
      <c r="Y244" s="45">
        <f>SUMPRODUCT($L$5:$L$24,($M$5:$M$24/(W244+$M$5:$M$24*(1-W244))-$N$5:$N$24)^2)</f>
        <v/>
      </c>
      <c r="Z244" s="45">
        <f>SUMPRODUCT($S$5:$S$24,($T$5:$T$24/(W244+$T$5:$T$24*(1-W244))-$U$5:$U$24)^2)</f>
        <v/>
      </c>
    </row>
    <row r="245">
      <c r="W245" s="30" t="n">
        <v>1.25</v>
      </c>
      <c r="X245" s="45">
        <f>SUMPRODUCT($E$5:$E$24,($F$5:$F$24/(W245+$F$5:$F$24*(1-W245))-$G$5:$G$24)^2)</f>
        <v/>
      </c>
      <c r="Y245" s="45">
        <f>SUMPRODUCT($L$5:$L$24,($M$5:$M$24/(W245+$M$5:$M$24*(1-W245))-$N$5:$N$24)^2)</f>
        <v/>
      </c>
      <c r="Z245" s="45">
        <f>SUMPRODUCT($S$5:$S$24,($T$5:$T$24/(W245+$T$5:$T$24*(1-W245))-$U$5:$U$24)^2)</f>
        <v/>
      </c>
    </row>
    <row r="246">
      <c r="W246" s="30" t="n">
        <v>1.255</v>
      </c>
      <c r="X246" s="45">
        <f>SUMPRODUCT($E$5:$E$24,($F$5:$F$24/(W246+$F$5:$F$24*(1-W246))-$G$5:$G$24)^2)</f>
        <v/>
      </c>
      <c r="Y246" s="45">
        <f>SUMPRODUCT($L$5:$L$24,($M$5:$M$24/(W246+$M$5:$M$24*(1-W246))-$N$5:$N$24)^2)</f>
        <v/>
      </c>
      <c r="Z246" s="45">
        <f>SUMPRODUCT($S$5:$S$24,($T$5:$T$24/(W246+$T$5:$T$24*(1-W246))-$U$5:$U$24)^2)</f>
        <v/>
      </c>
    </row>
    <row r="247">
      <c r="W247" s="30" t="n">
        <v>1.26</v>
      </c>
      <c r="X247" s="45">
        <f>SUMPRODUCT($E$5:$E$24,($F$5:$F$24/(W247+$F$5:$F$24*(1-W247))-$G$5:$G$24)^2)</f>
        <v/>
      </c>
      <c r="Y247" s="45">
        <f>SUMPRODUCT($L$5:$L$24,($M$5:$M$24/(W247+$M$5:$M$24*(1-W247))-$N$5:$N$24)^2)</f>
        <v/>
      </c>
      <c r="Z247" s="45">
        <f>SUMPRODUCT($S$5:$S$24,($T$5:$T$24/(W247+$T$5:$T$24*(1-W247))-$U$5:$U$24)^2)</f>
        <v/>
      </c>
    </row>
    <row r="248">
      <c r="W248" s="30" t="n">
        <v>1.265</v>
      </c>
      <c r="X248" s="45">
        <f>SUMPRODUCT($E$5:$E$24,($F$5:$F$24/(W248+$F$5:$F$24*(1-W248))-$G$5:$G$24)^2)</f>
        <v/>
      </c>
      <c r="Y248" s="45">
        <f>SUMPRODUCT($L$5:$L$24,($M$5:$M$24/(W248+$M$5:$M$24*(1-W248))-$N$5:$N$24)^2)</f>
        <v/>
      </c>
      <c r="Z248" s="45">
        <f>SUMPRODUCT($S$5:$S$24,($T$5:$T$24/(W248+$T$5:$T$24*(1-W248))-$U$5:$U$24)^2)</f>
        <v/>
      </c>
    </row>
    <row r="249">
      <c r="W249" s="30" t="n">
        <v>1.27</v>
      </c>
      <c r="X249" s="45">
        <f>SUMPRODUCT($E$5:$E$24,($F$5:$F$24/(W249+$F$5:$F$24*(1-W249))-$G$5:$G$24)^2)</f>
        <v/>
      </c>
      <c r="Y249" s="45">
        <f>SUMPRODUCT($L$5:$L$24,($M$5:$M$24/(W249+$M$5:$M$24*(1-W249))-$N$5:$N$24)^2)</f>
        <v/>
      </c>
      <c r="Z249" s="45">
        <f>SUMPRODUCT($S$5:$S$24,($T$5:$T$24/(W249+$T$5:$T$24*(1-W249))-$U$5:$U$24)^2)</f>
        <v/>
      </c>
    </row>
    <row r="250">
      <c r="W250" s="30" t="n">
        <v>1.275</v>
      </c>
      <c r="X250" s="45">
        <f>SUMPRODUCT($E$5:$E$24,($F$5:$F$24/(W250+$F$5:$F$24*(1-W250))-$G$5:$G$24)^2)</f>
        <v/>
      </c>
      <c r="Y250" s="45">
        <f>SUMPRODUCT($L$5:$L$24,($M$5:$M$24/(W250+$M$5:$M$24*(1-W250))-$N$5:$N$24)^2)</f>
        <v/>
      </c>
      <c r="Z250" s="45">
        <f>SUMPRODUCT($S$5:$S$24,($T$5:$T$24/(W250+$T$5:$T$24*(1-W250))-$U$5:$U$24)^2)</f>
        <v/>
      </c>
    </row>
    <row r="251">
      <c r="W251" s="30" t="n">
        <v>1.28</v>
      </c>
      <c r="X251" s="45">
        <f>SUMPRODUCT($E$5:$E$24,($F$5:$F$24/(W251+$F$5:$F$24*(1-W251))-$G$5:$G$24)^2)</f>
        <v/>
      </c>
      <c r="Y251" s="45">
        <f>SUMPRODUCT($L$5:$L$24,($M$5:$M$24/(W251+$M$5:$M$24*(1-W251))-$N$5:$N$24)^2)</f>
        <v/>
      </c>
      <c r="Z251" s="45">
        <f>SUMPRODUCT($S$5:$S$24,($T$5:$T$24/(W251+$T$5:$T$24*(1-W251))-$U$5:$U$24)^2)</f>
        <v/>
      </c>
    </row>
    <row r="252">
      <c r="W252" s="30" t="n">
        <v>1.285</v>
      </c>
      <c r="X252" s="45">
        <f>SUMPRODUCT($E$5:$E$24,($F$5:$F$24/(W252+$F$5:$F$24*(1-W252))-$G$5:$G$24)^2)</f>
        <v/>
      </c>
      <c r="Y252" s="45">
        <f>SUMPRODUCT($L$5:$L$24,($M$5:$M$24/(W252+$M$5:$M$24*(1-W252))-$N$5:$N$24)^2)</f>
        <v/>
      </c>
      <c r="Z252" s="45">
        <f>SUMPRODUCT($S$5:$S$24,($T$5:$T$24/(W252+$T$5:$T$24*(1-W252))-$U$5:$U$24)^2)</f>
        <v/>
      </c>
    </row>
    <row r="253">
      <c r="W253" s="30" t="n">
        <v>1.29</v>
      </c>
      <c r="X253" s="45">
        <f>SUMPRODUCT($E$5:$E$24,($F$5:$F$24/(W253+$F$5:$F$24*(1-W253))-$G$5:$G$24)^2)</f>
        <v/>
      </c>
      <c r="Y253" s="45">
        <f>SUMPRODUCT($L$5:$L$24,($M$5:$M$24/(W253+$M$5:$M$24*(1-W253))-$N$5:$N$24)^2)</f>
        <v/>
      </c>
      <c r="Z253" s="45">
        <f>SUMPRODUCT($S$5:$S$24,($T$5:$T$24/(W253+$T$5:$T$24*(1-W253))-$U$5:$U$24)^2)</f>
        <v/>
      </c>
    </row>
    <row r="254">
      <c r="W254" s="30" t="n">
        <v>1.295</v>
      </c>
      <c r="X254" s="45">
        <f>SUMPRODUCT($E$5:$E$24,($F$5:$F$24/(W254+$F$5:$F$24*(1-W254))-$G$5:$G$24)^2)</f>
        <v/>
      </c>
      <c r="Y254" s="45">
        <f>SUMPRODUCT($L$5:$L$24,($M$5:$M$24/(W254+$M$5:$M$24*(1-W254))-$N$5:$N$24)^2)</f>
        <v/>
      </c>
      <c r="Z254" s="45">
        <f>SUMPRODUCT($S$5:$S$24,($T$5:$T$24/(W254+$T$5:$T$24*(1-W254))-$U$5:$U$24)^2)</f>
        <v/>
      </c>
    </row>
    <row r="255">
      <c r="W255" s="30" t="n">
        <v>1.3</v>
      </c>
      <c r="X255" s="45">
        <f>SUMPRODUCT($E$5:$E$24,($F$5:$F$24/(W255+$F$5:$F$24*(1-W255))-$G$5:$G$24)^2)</f>
        <v/>
      </c>
      <c r="Y255" s="45">
        <f>SUMPRODUCT($L$5:$L$24,($M$5:$M$24/(W255+$M$5:$M$24*(1-W255))-$N$5:$N$24)^2)</f>
        <v/>
      </c>
      <c r="Z255" s="45">
        <f>SUMPRODUCT($S$5:$S$24,($T$5:$T$24/(W255+$T$5:$T$24*(1-W255))-$U$5:$U$24)^2)</f>
        <v/>
      </c>
    </row>
    <row r="256">
      <c r="W256" s="30" t="n">
        <v>1.305</v>
      </c>
      <c r="X256" s="45">
        <f>SUMPRODUCT($E$5:$E$24,($F$5:$F$24/(W256+$F$5:$F$24*(1-W256))-$G$5:$G$24)^2)</f>
        <v/>
      </c>
      <c r="Y256" s="45">
        <f>SUMPRODUCT($L$5:$L$24,($M$5:$M$24/(W256+$M$5:$M$24*(1-W256))-$N$5:$N$24)^2)</f>
        <v/>
      </c>
      <c r="Z256" s="45">
        <f>SUMPRODUCT($S$5:$S$24,($T$5:$T$24/(W256+$T$5:$T$24*(1-W256))-$U$5:$U$24)^2)</f>
        <v/>
      </c>
    </row>
    <row r="257">
      <c r="W257" s="30" t="n">
        <v>1.31</v>
      </c>
      <c r="X257" s="45">
        <f>SUMPRODUCT($E$5:$E$24,($F$5:$F$24/(W257+$F$5:$F$24*(1-W257))-$G$5:$G$24)^2)</f>
        <v/>
      </c>
      <c r="Y257" s="45">
        <f>SUMPRODUCT($L$5:$L$24,($M$5:$M$24/(W257+$M$5:$M$24*(1-W257))-$N$5:$N$24)^2)</f>
        <v/>
      </c>
      <c r="Z257" s="45">
        <f>SUMPRODUCT($S$5:$S$24,($T$5:$T$24/(W257+$T$5:$T$24*(1-W257))-$U$5:$U$24)^2)</f>
        <v/>
      </c>
    </row>
    <row r="258">
      <c r="W258" s="30" t="n">
        <v>1.315</v>
      </c>
      <c r="X258" s="45">
        <f>SUMPRODUCT($E$5:$E$24,($F$5:$F$24/(W258+$F$5:$F$24*(1-W258))-$G$5:$G$24)^2)</f>
        <v/>
      </c>
      <c r="Y258" s="45">
        <f>SUMPRODUCT($L$5:$L$24,($M$5:$M$24/(W258+$M$5:$M$24*(1-W258))-$N$5:$N$24)^2)</f>
        <v/>
      </c>
      <c r="Z258" s="45">
        <f>SUMPRODUCT($S$5:$S$24,($T$5:$T$24/(W258+$T$5:$T$24*(1-W258))-$U$5:$U$24)^2)</f>
        <v/>
      </c>
    </row>
    <row r="259">
      <c r="W259" s="30" t="n">
        <v>1.32</v>
      </c>
      <c r="X259" s="45">
        <f>SUMPRODUCT($E$5:$E$24,($F$5:$F$24/(W259+$F$5:$F$24*(1-W259))-$G$5:$G$24)^2)</f>
        <v/>
      </c>
      <c r="Y259" s="45">
        <f>SUMPRODUCT($L$5:$L$24,($M$5:$M$24/(W259+$M$5:$M$24*(1-W259))-$N$5:$N$24)^2)</f>
        <v/>
      </c>
      <c r="Z259" s="45">
        <f>SUMPRODUCT($S$5:$S$24,($T$5:$T$24/(W259+$T$5:$T$24*(1-W259))-$U$5:$U$24)^2)</f>
        <v/>
      </c>
    </row>
    <row r="260">
      <c r="W260" s="30" t="n">
        <v>1.325</v>
      </c>
      <c r="X260" s="45">
        <f>SUMPRODUCT($E$5:$E$24,($F$5:$F$24/(W260+$F$5:$F$24*(1-W260))-$G$5:$G$24)^2)</f>
        <v/>
      </c>
      <c r="Y260" s="45">
        <f>SUMPRODUCT($L$5:$L$24,($M$5:$M$24/(W260+$M$5:$M$24*(1-W260))-$N$5:$N$24)^2)</f>
        <v/>
      </c>
      <c r="Z260" s="45">
        <f>SUMPRODUCT($S$5:$S$24,($T$5:$T$24/(W260+$T$5:$T$24*(1-W260))-$U$5:$U$24)^2)</f>
        <v/>
      </c>
    </row>
    <row r="261">
      <c r="W261" s="30" t="n">
        <v>1.33</v>
      </c>
      <c r="X261" s="45">
        <f>SUMPRODUCT($E$5:$E$24,($F$5:$F$24/(W261+$F$5:$F$24*(1-W261))-$G$5:$G$24)^2)</f>
        <v/>
      </c>
      <c r="Y261" s="45">
        <f>SUMPRODUCT($L$5:$L$24,($M$5:$M$24/(W261+$M$5:$M$24*(1-W261))-$N$5:$N$24)^2)</f>
        <v/>
      </c>
      <c r="Z261" s="45">
        <f>SUMPRODUCT($S$5:$S$24,($T$5:$T$24/(W261+$T$5:$T$24*(1-W261))-$U$5:$U$24)^2)</f>
        <v/>
      </c>
    </row>
    <row r="262">
      <c r="W262" s="30" t="n">
        <v>1.335</v>
      </c>
      <c r="X262" s="45">
        <f>SUMPRODUCT($E$5:$E$24,($F$5:$F$24/(W262+$F$5:$F$24*(1-W262))-$G$5:$G$24)^2)</f>
        <v/>
      </c>
      <c r="Y262" s="45">
        <f>SUMPRODUCT($L$5:$L$24,($M$5:$M$24/(W262+$M$5:$M$24*(1-W262))-$N$5:$N$24)^2)</f>
        <v/>
      </c>
      <c r="Z262" s="45">
        <f>SUMPRODUCT($S$5:$S$24,($T$5:$T$24/(W262+$T$5:$T$24*(1-W262))-$U$5:$U$24)^2)</f>
        <v/>
      </c>
    </row>
    <row r="263">
      <c r="W263" s="30" t="n">
        <v>1.34</v>
      </c>
      <c r="X263" s="45">
        <f>SUMPRODUCT($E$5:$E$24,($F$5:$F$24/(W263+$F$5:$F$24*(1-W263))-$G$5:$G$24)^2)</f>
        <v/>
      </c>
      <c r="Y263" s="45">
        <f>SUMPRODUCT($L$5:$L$24,($M$5:$M$24/(W263+$M$5:$M$24*(1-W263))-$N$5:$N$24)^2)</f>
        <v/>
      </c>
      <c r="Z263" s="45">
        <f>SUMPRODUCT($S$5:$S$24,($T$5:$T$24/(W263+$T$5:$T$24*(1-W263))-$U$5:$U$24)^2)</f>
        <v/>
      </c>
    </row>
    <row r="264">
      <c r="W264" s="30" t="n">
        <v>1.345</v>
      </c>
      <c r="X264" s="45">
        <f>SUMPRODUCT($E$5:$E$24,($F$5:$F$24/(W264+$F$5:$F$24*(1-W264))-$G$5:$G$24)^2)</f>
        <v/>
      </c>
      <c r="Y264" s="45">
        <f>SUMPRODUCT($L$5:$L$24,($M$5:$M$24/(W264+$M$5:$M$24*(1-W264))-$N$5:$N$24)^2)</f>
        <v/>
      </c>
      <c r="Z264" s="45">
        <f>SUMPRODUCT($S$5:$S$24,($T$5:$T$24/(W264+$T$5:$T$24*(1-W264))-$U$5:$U$24)^2)</f>
        <v/>
      </c>
    </row>
    <row r="265">
      <c r="W265" s="30" t="n">
        <v>1.35</v>
      </c>
      <c r="X265" s="45">
        <f>SUMPRODUCT($E$5:$E$24,($F$5:$F$24/(W265+$F$5:$F$24*(1-W265))-$G$5:$G$24)^2)</f>
        <v/>
      </c>
      <c r="Y265" s="45">
        <f>SUMPRODUCT($L$5:$L$24,($M$5:$M$24/(W265+$M$5:$M$24*(1-W265))-$N$5:$N$24)^2)</f>
        <v/>
      </c>
      <c r="Z265" s="45">
        <f>SUMPRODUCT($S$5:$S$24,($T$5:$T$24/(W265+$T$5:$T$24*(1-W265))-$U$5:$U$24)^2)</f>
        <v/>
      </c>
    </row>
    <row r="266">
      <c r="W266" s="30" t="n">
        <v>1.355</v>
      </c>
      <c r="X266" s="45">
        <f>SUMPRODUCT($E$5:$E$24,($F$5:$F$24/(W266+$F$5:$F$24*(1-W266))-$G$5:$G$24)^2)</f>
        <v/>
      </c>
      <c r="Y266" s="45">
        <f>SUMPRODUCT($L$5:$L$24,($M$5:$M$24/(W266+$M$5:$M$24*(1-W266))-$N$5:$N$24)^2)</f>
        <v/>
      </c>
      <c r="Z266" s="45">
        <f>SUMPRODUCT($S$5:$S$24,($T$5:$T$24/(W266+$T$5:$T$24*(1-W266))-$U$5:$U$24)^2)</f>
        <v/>
      </c>
    </row>
    <row r="267">
      <c r="W267" s="30" t="n">
        <v>1.36</v>
      </c>
      <c r="X267" s="45">
        <f>SUMPRODUCT($E$5:$E$24,($F$5:$F$24/(W267+$F$5:$F$24*(1-W267))-$G$5:$G$24)^2)</f>
        <v/>
      </c>
      <c r="Y267" s="45">
        <f>SUMPRODUCT($L$5:$L$24,($M$5:$M$24/(W267+$M$5:$M$24*(1-W267))-$N$5:$N$24)^2)</f>
        <v/>
      </c>
      <c r="Z267" s="45">
        <f>SUMPRODUCT($S$5:$S$24,($T$5:$T$24/(W267+$T$5:$T$24*(1-W267))-$U$5:$U$24)^2)</f>
        <v/>
      </c>
    </row>
    <row r="268">
      <c r="W268" s="30" t="n">
        <v>1.365</v>
      </c>
      <c r="X268" s="45">
        <f>SUMPRODUCT($E$5:$E$24,($F$5:$F$24/(W268+$F$5:$F$24*(1-W268))-$G$5:$G$24)^2)</f>
        <v/>
      </c>
      <c r="Y268" s="45">
        <f>SUMPRODUCT($L$5:$L$24,($M$5:$M$24/(W268+$M$5:$M$24*(1-W268))-$N$5:$N$24)^2)</f>
        <v/>
      </c>
      <c r="Z268" s="45">
        <f>SUMPRODUCT($S$5:$S$24,($T$5:$T$24/(W268+$T$5:$T$24*(1-W268))-$U$5:$U$24)^2)</f>
        <v/>
      </c>
    </row>
    <row r="269">
      <c r="W269" s="30" t="n">
        <v>1.37</v>
      </c>
      <c r="X269" s="45">
        <f>SUMPRODUCT($E$5:$E$24,($F$5:$F$24/(W269+$F$5:$F$24*(1-W269))-$G$5:$G$24)^2)</f>
        <v/>
      </c>
      <c r="Y269" s="45">
        <f>SUMPRODUCT($L$5:$L$24,($M$5:$M$24/(W269+$M$5:$M$24*(1-W269))-$N$5:$N$24)^2)</f>
        <v/>
      </c>
      <c r="Z269" s="45">
        <f>SUMPRODUCT($S$5:$S$24,($T$5:$T$24/(W269+$T$5:$T$24*(1-W269))-$U$5:$U$24)^2)</f>
        <v/>
      </c>
    </row>
    <row r="270">
      <c r="W270" s="30" t="n">
        <v>1.375</v>
      </c>
      <c r="X270" s="45">
        <f>SUMPRODUCT($E$5:$E$24,($F$5:$F$24/(W270+$F$5:$F$24*(1-W270))-$G$5:$G$24)^2)</f>
        <v/>
      </c>
      <c r="Y270" s="45">
        <f>SUMPRODUCT($L$5:$L$24,($M$5:$M$24/(W270+$M$5:$M$24*(1-W270))-$N$5:$N$24)^2)</f>
        <v/>
      </c>
      <c r="Z270" s="45">
        <f>SUMPRODUCT($S$5:$S$24,($T$5:$T$24/(W270+$T$5:$T$24*(1-W270))-$U$5:$U$24)^2)</f>
        <v/>
      </c>
    </row>
    <row r="271">
      <c r="W271" s="30" t="n">
        <v>1.38</v>
      </c>
      <c r="X271" s="45">
        <f>SUMPRODUCT($E$5:$E$24,($F$5:$F$24/(W271+$F$5:$F$24*(1-W271))-$G$5:$G$24)^2)</f>
        <v/>
      </c>
      <c r="Y271" s="45">
        <f>SUMPRODUCT($L$5:$L$24,($M$5:$M$24/(W271+$M$5:$M$24*(1-W271))-$N$5:$N$24)^2)</f>
        <v/>
      </c>
      <c r="Z271" s="45">
        <f>SUMPRODUCT($S$5:$S$24,($T$5:$T$24/(W271+$T$5:$T$24*(1-W271))-$U$5:$U$24)^2)</f>
        <v/>
      </c>
    </row>
    <row r="272">
      <c r="W272" s="30" t="n">
        <v>1.385</v>
      </c>
      <c r="X272" s="45">
        <f>SUMPRODUCT($E$5:$E$24,($F$5:$F$24/(W272+$F$5:$F$24*(1-W272))-$G$5:$G$24)^2)</f>
        <v/>
      </c>
      <c r="Y272" s="45">
        <f>SUMPRODUCT($L$5:$L$24,($M$5:$M$24/(W272+$M$5:$M$24*(1-W272))-$N$5:$N$24)^2)</f>
        <v/>
      </c>
      <c r="Z272" s="45">
        <f>SUMPRODUCT($S$5:$S$24,($T$5:$T$24/(W272+$T$5:$T$24*(1-W272))-$U$5:$U$24)^2)</f>
        <v/>
      </c>
    </row>
    <row r="273">
      <c r="W273" s="30" t="n">
        <v>1.39</v>
      </c>
      <c r="X273" s="45">
        <f>SUMPRODUCT($E$5:$E$24,($F$5:$F$24/(W273+$F$5:$F$24*(1-W273))-$G$5:$G$24)^2)</f>
        <v/>
      </c>
      <c r="Y273" s="45">
        <f>SUMPRODUCT($L$5:$L$24,($M$5:$M$24/(W273+$M$5:$M$24*(1-W273))-$N$5:$N$24)^2)</f>
        <v/>
      </c>
      <c r="Z273" s="45">
        <f>SUMPRODUCT($S$5:$S$24,($T$5:$T$24/(W273+$T$5:$T$24*(1-W273))-$U$5:$U$24)^2)</f>
        <v/>
      </c>
    </row>
    <row r="274">
      <c r="W274" s="30" t="n">
        <v>1.395</v>
      </c>
      <c r="X274" s="45">
        <f>SUMPRODUCT($E$5:$E$24,($F$5:$F$24/(W274+$F$5:$F$24*(1-W274))-$G$5:$G$24)^2)</f>
        <v/>
      </c>
      <c r="Y274" s="45">
        <f>SUMPRODUCT($L$5:$L$24,($M$5:$M$24/(W274+$M$5:$M$24*(1-W274))-$N$5:$N$24)^2)</f>
        <v/>
      </c>
      <c r="Z274" s="45">
        <f>SUMPRODUCT($S$5:$S$24,($T$5:$T$24/(W274+$T$5:$T$24*(1-W274))-$U$5:$U$24)^2)</f>
        <v/>
      </c>
    </row>
    <row r="275">
      <c r="W275" s="30" t="n">
        <v>1.4</v>
      </c>
      <c r="X275" s="45">
        <f>SUMPRODUCT($E$5:$E$24,($F$5:$F$24/(W275+$F$5:$F$24*(1-W275))-$G$5:$G$24)^2)</f>
        <v/>
      </c>
      <c r="Y275" s="45">
        <f>SUMPRODUCT($L$5:$L$24,($M$5:$M$24/(W275+$M$5:$M$24*(1-W275))-$N$5:$N$24)^2)</f>
        <v/>
      </c>
      <c r="Z275" s="45">
        <f>SUMPRODUCT($S$5:$S$24,($T$5:$T$24/(W275+$T$5:$T$24*(1-W275))-$U$5:$U$24)^2)</f>
        <v/>
      </c>
    </row>
    <row r="276">
      <c r="W276" s="30" t="n">
        <v>1.405</v>
      </c>
      <c r="X276" s="45">
        <f>SUMPRODUCT($E$5:$E$24,($F$5:$F$24/(W276+$F$5:$F$24*(1-W276))-$G$5:$G$24)^2)</f>
        <v/>
      </c>
      <c r="Y276" s="45">
        <f>SUMPRODUCT($L$5:$L$24,($M$5:$M$24/(W276+$M$5:$M$24*(1-W276))-$N$5:$N$24)^2)</f>
        <v/>
      </c>
      <c r="Z276" s="45">
        <f>SUMPRODUCT($S$5:$S$24,($T$5:$T$24/(W276+$T$5:$T$24*(1-W276))-$U$5:$U$24)^2)</f>
        <v/>
      </c>
    </row>
    <row r="277">
      <c r="W277" s="30" t="n">
        <v>1.41</v>
      </c>
      <c r="X277" s="45">
        <f>SUMPRODUCT($E$5:$E$24,($F$5:$F$24/(W277+$F$5:$F$24*(1-W277))-$G$5:$G$24)^2)</f>
        <v/>
      </c>
      <c r="Y277" s="45">
        <f>SUMPRODUCT($L$5:$L$24,($M$5:$M$24/(W277+$M$5:$M$24*(1-W277))-$N$5:$N$24)^2)</f>
        <v/>
      </c>
      <c r="Z277" s="45">
        <f>SUMPRODUCT($S$5:$S$24,($T$5:$T$24/(W277+$T$5:$T$24*(1-W277))-$U$5:$U$24)^2)</f>
        <v/>
      </c>
    </row>
    <row r="278">
      <c r="W278" s="30" t="n">
        <v>1.415</v>
      </c>
      <c r="X278" s="45">
        <f>SUMPRODUCT($E$5:$E$24,($F$5:$F$24/(W278+$F$5:$F$24*(1-W278))-$G$5:$G$24)^2)</f>
        <v/>
      </c>
      <c r="Y278" s="45">
        <f>SUMPRODUCT($L$5:$L$24,($M$5:$M$24/(W278+$M$5:$M$24*(1-W278))-$N$5:$N$24)^2)</f>
        <v/>
      </c>
      <c r="Z278" s="45">
        <f>SUMPRODUCT($S$5:$S$24,($T$5:$T$24/(W278+$T$5:$T$24*(1-W278))-$U$5:$U$24)^2)</f>
        <v/>
      </c>
    </row>
    <row r="279">
      <c r="W279" s="30" t="n">
        <v>1.42</v>
      </c>
      <c r="X279" s="45">
        <f>SUMPRODUCT($E$5:$E$24,($F$5:$F$24/(W279+$F$5:$F$24*(1-W279))-$G$5:$G$24)^2)</f>
        <v/>
      </c>
      <c r="Y279" s="45">
        <f>SUMPRODUCT($L$5:$L$24,($M$5:$M$24/(W279+$M$5:$M$24*(1-W279))-$N$5:$N$24)^2)</f>
        <v/>
      </c>
      <c r="Z279" s="45">
        <f>SUMPRODUCT($S$5:$S$24,($T$5:$T$24/(W279+$T$5:$T$24*(1-W279))-$U$5:$U$24)^2)</f>
        <v/>
      </c>
    </row>
    <row r="280">
      <c r="W280" s="30" t="n">
        <v>1.425</v>
      </c>
      <c r="X280" s="45">
        <f>SUMPRODUCT($E$5:$E$24,($F$5:$F$24/(W280+$F$5:$F$24*(1-W280))-$G$5:$G$24)^2)</f>
        <v/>
      </c>
      <c r="Y280" s="45">
        <f>SUMPRODUCT($L$5:$L$24,($M$5:$M$24/(W280+$M$5:$M$24*(1-W280))-$N$5:$N$24)^2)</f>
        <v/>
      </c>
      <c r="Z280" s="45">
        <f>SUMPRODUCT($S$5:$S$24,($T$5:$T$24/(W280+$T$5:$T$24*(1-W280))-$U$5:$U$24)^2)</f>
        <v/>
      </c>
    </row>
    <row r="281">
      <c r="W281" s="30" t="n">
        <v>1.43</v>
      </c>
      <c r="X281" s="45">
        <f>SUMPRODUCT($E$5:$E$24,($F$5:$F$24/(W281+$F$5:$F$24*(1-W281))-$G$5:$G$24)^2)</f>
        <v/>
      </c>
      <c r="Y281" s="45">
        <f>SUMPRODUCT($L$5:$L$24,($M$5:$M$24/(W281+$M$5:$M$24*(1-W281))-$N$5:$N$24)^2)</f>
        <v/>
      </c>
      <c r="Z281" s="45">
        <f>SUMPRODUCT($S$5:$S$24,($T$5:$T$24/(W281+$T$5:$T$24*(1-W281))-$U$5:$U$24)^2)</f>
        <v/>
      </c>
    </row>
    <row r="282">
      <c r="W282" s="30" t="n">
        <v>1.435</v>
      </c>
      <c r="X282" s="45">
        <f>SUMPRODUCT($E$5:$E$24,($F$5:$F$24/(W282+$F$5:$F$24*(1-W282))-$G$5:$G$24)^2)</f>
        <v/>
      </c>
      <c r="Y282" s="45">
        <f>SUMPRODUCT($L$5:$L$24,($M$5:$M$24/(W282+$M$5:$M$24*(1-W282))-$N$5:$N$24)^2)</f>
        <v/>
      </c>
      <c r="Z282" s="45">
        <f>SUMPRODUCT($S$5:$S$24,($T$5:$T$24/(W282+$T$5:$T$24*(1-W282))-$U$5:$U$24)^2)</f>
        <v/>
      </c>
    </row>
    <row r="283">
      <c r="W283" s="30" t="n">
        <v>1.44</v>
      </c>
      <c r="X283" s="45">
        <f>SUMPRODUCT($E$5:$E$24,($F$5:$F$24/(W283+$F$5:$F$24*(1-W283))-$G$5:$G$24)^2)</f>
        <v/>
      </c>
      <c r="Y283" s="45">
        <f>SUMPRODUCT($L$5:$L$24,($M$5:$M$24/(W283+$M$5:$M$24*(1-W283))-$N$5:$N$24)^2)</f>
        <v/>
      </c>
      <c r="Z283" s="45">
        <f>SUMPRODUCT($S$5:$S$24,($T$5:$T$24/(W283+$T$5:$T$24*(1-W283))-$U$5:$U$24)^2)</f>
        <v/>
      </c>
    </row>
    <row r="284">
      <c r="W284" s="30" t="n">
        <v>1.445</v>
      </c>
      <c r="X284" s="45">
        <f>SUMPRODUCT($E$5:$E$24,($F$5:$F$24/(W284+$F$5:$F$24*(1-W284))-$G$5:$G$24)^2)</f>
        <v/>
      </c>
      <c r="Y284" s="45">
        <f>SUMPRODUCT($L$5:$L$24,($M$5:$M$24/(W284+$M$5:$M$24*(1-W284))-$N$5:$N$24)^2)</f>
        <v/>
      </c>
      <c r="Z284" s="45">
        <f>SUMPRODUCT($S$5:$S$24,($T$5:$T$24/(W284+$T$5:$T$24*(1-W284))-$U$5:$U$24)^2)</f>
        <v/>
      </c>
    </row>
    <row r="285">
      <c r="W285" s="30" t="n">
        <v>1.45</v>
      </c>
      <c r="X285" s="45">
        <f>SUMPRODUCT($E$5:$E$24,($F$5:$F$24/(W285+$F$5:$F$24*(1-W285))-$G$5:$G$24)^2)</f>
        <v/>
      </c>
      <c r="Y285" s="45">
        <f>SUMPRODUCT($L$5:$L$24,($M$5:$M$24/(W285+$M$5:$M$24*(1-W285))-$N$5:$N$24)^2)</f>
        <v/>
      </c>
      <c r="Z285" s="45">
        <f>SUMPRODUCT($S$5:$S$24,($T$5:$T$24/(W285+$T$5:$T$24*(1-W285))-$U$5:$U$24)^2)</f>
        <v/>
      </c>
    </row>
    <row r="286">
      <c r="W286" s="30" t="n">
        <v>1.455</v>
      </c>
      <c r="X286" s="45">
        <f>SUMPRODUCT($E$5:$E$24,($F$5:$F$24/(W286+$F$5:$F$24*(1-W286))-$G$5:$G$24)^2)</f>
        <v/>
      </c>
      <c r="Y286" s="45">
        <f>SUMPRODUCT($L$5:$L$24,($M$5:$M$24/(W286+$M$5:$M$24*(1-W286))-$N$5:$N$24)^2)</f>
        <v/>
      </c>
      <c r="Z286" s="45">
        <f>SUMPRODUCT($S$5:$S$24,($T$5:$T$24/(W286+$T$5:$T$24*(1-W286))-$U$5:$U$24)^2)</f>
        <v/>
      </c>
    </row>
    <row r="287">
      <c r="W287" s="30" t="n">
        <v>1.46</v>
      </c>
      <c r="X287" s="45">
        <f>SUMPRODUCT($E$5:$E$24,($F$5:$F$24/(W287+$F$5:$F$24*(1-W287))-$G$5:$G$24)^2)</f>
        <v/>
      </c>
      <c r="Y287" s="45">
        <f>SUMPRODUCT($L$5:$L$24,($M$5:$M$24/(W287+$M$5:$M$24*(1-W287))-$N$5:$N$24)^2)</f>
        <v/>
      </c>
      <c r="Z287" s="45">
        <f>SUMPRODUCT($S$5:$S$24,($T$5:$T$24/(W287+$T$5:$T$24*(1-W287))-$U$5:$U$24)^2)</f>
        <v/>
      </c>
    </row>
    <row r="288">
      <c r="W288" s="30" t="n">
        <v>1.465</v>
      </c>
      <c r="X288" s="45">
        <f>SUMPRODUCT($E$5:$E$24,($F$5:$F$24/(W288+$F$5:$F$24*(1-W288))-$G$5:$G$24)^2)</f>
        <v/>
      </c>
      <c r="Y288" s="45">
        <f>SUMPRODUCT($L$5:$L$24,($M$5:$M$24/(W288+$M$5:$M$24*(1-W288))-$N$5:$N$24)^2)</f>
        <v/>
      </c>
      <c r="Z288" s="45">
        <f>SUMPRODUCT($S$5:$S$24,($T$5:$T$24/(W288+$T$5:$T$24*(1-W288))-$U$5:$U$24)^2)</f>
        <v/>
      </c>
    </row>
    <row r="289">
      <c r="W289" s="30" t="n">
        <v>1.47</v>
      </c>
      <c r="X289" s="45">
        <f>SUMPRODUCT($E$5:$E$24,($F$5:$F$24/(W289+$F$5:$F$24*(1-W289))-$G$5:$G$24)^2)</f>
        <v/>
      </c>
      <c r="Y289" s="45">
        <f>SUMPRODUCT($L$5:$L$24,($M$5:$M$24/(W289+$M$5:$M$24*(1-W289))-$N$5:$N$24)^2)</f>
        <v/>
      </c>
      <c r="Z289" s="45">
        <f>SUMPRODUCT($S$5:$S$24,($T$5:$T$24/(W289+$T$5:$T$24*(1-W289))-$U$5:$U$24)^2)</f>
        <v/>
      </c>
    </row>
    <row r="290">
      <c r="W290" s="30" t="n">
        <v>1.475</v>
      </c>
      <c r="X290" s="45">
        <f>SUMPRODUCT($E$5:$E$24,($F$5:$F$24/(W290+$F$5:$F$24*(1-W290))-$G$5:$G$24)^2)</f>
        <v/>
      </c>
      <c r="Y290" s="45">
        <f>SUMPRODUCT($L$5:$L$24,($M$5:$M$24/(W290+$M$5:$M$24*(1-W290))-$N$5:$N$24)^2)</f>
        <v/>
      </c>
      <c r="Z290" s="45">
        <f>SUMPRODUCT($S$5:$S$24,($T$5:$T$24/(W290+$T$5:$T$24*(1-W290))-$U$5:$U$24)^2)</f>
        <v/>
      </c>
    </row>
    <row r="291">
      <c r="W291" s="30" t="n">
        <v>1.48</v>
      </c>
      <c r="X291" s="45">
        <f>SUMPRODUCT($E$5:$E$24,($F$5:$F$24/(W291+$F$5:$F$24*(1-W291))-$G$5:$G$24)^2)</f>
        <v/>
      </c>
      <c r="Y291" s="45">
        <f>SUMPRODUCT($L$5:$L$24,($M$5:$M$24/(W291+$M$5:$M$24*(1-W291))-$N$5:$N$24)^2)</f>
        <v/>
      </c>
      <c r="Z291" s="45">
        <f>SUMPRODUCT($S$5:$S$24,($T$5:$T$24/(W291+$T$5:$T$24*(1-W291))-$U$5:$U$24)^2)</f>
        <v/>
      </c>
    </row>
    <row r="292">
      <c r="W292" s="30" t="n">
        <v>1.485</v>
      </c>
      <c r="X292" s="45">
        <f>SUMPRODUCT($E$5:$E$24,($F$5:$F$24/(W292+$F$5:$F$24*(1-W292))-$G$5:$G$24)^2)</f>
        <v/>
      </c>
      <c r="Y292" s="45">
        <f>SUMPRODUCT($L$5:$L$24,($M$5:$M$24/(W292+$M$5:$M$24*(1-W292))-$N$5:$N$24)^2)</f>
        <v/>
      </c>
      <c r="Z292" s="45">
        <f>SUMPRODUCT($S$5:$S$24,($T$5:$T$24/(W292+$T$5:$T$24*(1-W292))-$U$5:$U$24)^2)</f>
        <v/>
      </c>
    </row>
    <row r="293">
      <c r="W293" s="30" t="n">
        <v>1.49</v>
      </c>
      <c r="X293" s="45">
        <f>SUMPRODUCT($E$5:$E$24,($F$5:$F$24/(W293+$F$5:$F$24*(1-W293))-$G$5:$G$24)^2)</f>
        <v/>
      </c>
      <c r="Y293" s="45">
        <f>SUMPRODUCT($L$5:$L$24,($M$5:$M$24/(W293+$M$5:$M$24*(1-W293))-$N$5:$N$24)^2)</f>
        <v/>
      </c>
      <c r="Z293" s="45">
        <f>SUMPRODUCT($S$5:$S$24,($T$5:$T$24/(W293+$T$5:$T$24*(1-W293))-$U$5:$U$24)^2)</f>
        <v/>
      </c>
    </row>
    <row r="294">
      <c r="W294" s="30" t="n">
        <v>1.495</v>
      </c>
      <c r="X294" s="45">
        <f>SUMPRODUCT($E$5:$E$24,($F$5:$F$24/(W294+$F$5:$F$24*(1-W294))-$G$5:$G$24)^2)</f>
        <v/>
      </c>
      <c r="Y294" s="45">
        <f>SUMPRODUCT($L$5:$L$24,($M$5:$M$24/(W294+$M$5:$M$24*(1-W294))-$N$5:$N$24)^2)</f>
        <v/>
      </c>
      <c r="Z294" s="45">
        <f>SUMPRODUCT($S$5:$S$24,($T$5:$T$24/(W294+$T$5:$T$24*(1-W294))-$U$5:$U$24)^2)</f>
        <v/>
      </c>
    </row>
    <row r="295">
      <c r="W295" s="30" t="n">
        <v>1.5</v>
      </c>
      <c r="X295" s="45">
        <f>SUMPRODUCT($E$5:$E$24,($F$5:$F$24/(W295+$F$5:$F$24*(1-W295))-$G$5:$G$24)^2)</f>
        <v/>
      </c>
      <c r="Y295" s="45">
        <f>SUMPRODUCT($L$5:$L$24,($M$5:$M$24/(W295+$M$5:$M$24*(1-W295))-$N$5:$N$24)^2)</f>
        <v/>
      </c>
      <c r="Z295" s="45">
        <f>SUMPRODUCT($S$5:$S$24,($T$5:$T$24/(W295+$T$5:$T$24*(1-W295))-$U$5:$U$24)^2)</f>
        <v/>
      </c>
    </row>
  </sheetData>
  <conditionalFormatting sqref="AC14">
    <cfRule type="expression" priority="1" dxfId="0">
      <formula>LEFT($AC$14,6)="A fit "</formula>
    </cfRule>
  </conditionalFormatting>
  <hyperlinks>
    <hyperlink ref="AB18" location="'Guide'!A1" display="↩ Back to the Guid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2026-10-13T02:10:34Z</dcterms:created>
  <dcterms:modified xsi:type="dcterms:W3CDTF">2026-10-13T02:10:34Z</dcterms:modified>
</cp:coreProperties>
</file>